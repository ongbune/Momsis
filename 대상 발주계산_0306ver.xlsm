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게임개발자_농부\Desktop\"/>
    </mc:Choice>
  </mc:AlternateContent>
  <xr:revisionPtr revIDLastSave="0" documentId="13_ncr:1_{DFA72D0E-CC1D-43DD-8985-EEB05030BF40}" xr6:coauthVersionLast="45" xr6:coauthVersionMax="45" xr10:uidLastSave="{00000000-0000-0000-0000-000000000000}"/>
  <bookViews>
    <workbookView xWindow="-108" yWindow="-108" windowWidth="30936" windowHeight="16896" xr2:uid="{00000000-000D-0000-FFFF-FFFF00000000}"/>
  </bookViews>
  <sheets>
    <sheet name="발주 계산기" sheetId="1" r:id="rId1"/>
    <sheet name="발주 복사" sheetId="3" r:id="rId2"/>
    <sheet name="기사님확인" sheetId="7" r:id="rId3"/>
    <sheet name="정보" sheetId="4" state="hidden" r:id="rId4"/>
    <sheet name="대상발주서" sheetId="8" r:id="rId5"/>
    <sheet name="대상발주현황" sheetId="10" r:id="rId6"/>
    <sheet name="판매입력" sheetId="6" r:id="rId7"/>
  </sheets>
  <functionGroups builtInGroupCount="19"/>
  <externalReferences>
    <externalReference r:id="rId8"/>
  </externalReferences>
  <definedNames>
    <definedName name="부재료목록" localSheetId="5">#REF!</definedName>
    <definedName name="부재료목록">#REF!</definedName>
    <definedName name="생산일보" localSheetId="5">#REF!</definedName>
    <definedName name="생산일보">#REF!</definedName>
    <definedName name="제품목록">[1]제품!$A$1:$L$41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5" i="7" l="1"/>
  <c r="H22" i="7" l="1"/>
  <c r="AL21" i="10" l="1"/>
  <c r="AL20" i="10"/>
  <c r="AL19" i="10"/>
  <c r="E18" i="8" l="1"/>
  <c r="F18" i="8" s="1"/>
  <c r="E19" i="8"/>
  <c r="F19" i="8" s="1"/>
  <c r="E20" i="8"/>
  <c r="F20" i="8" s="1"/>
  <c r="E21" i="8"/>
  <c r="F21" i="8" s="1"/>
  <c r="D18" i="8"/>
  <c r="D19" i="8"/>
  <c r="D20" i="8"/>
  <c r="D21" i="8"/>
  <c r="D6" i="8"/>
  <c r="D7" i="8"/>
  <c r="D8" i="8"/>
  <c r="D9" i="8"/>
  <c r="D10" i="8"/>
  <c r="D11" i="8"/>
  <c r="D12" i="8"/>
  <c r="D13" i="8"/>
  <c r="D14" i="8"/>
  <c r="D15" i="8"/>
  <c r="D16" i="8"/>
  <c r="D17" i="8"/>
  <c r="D22" i="8"/>
  <c r="D6" i="7"/>
  <c r="D7" i="7"/>
  <c r="G7" i="7" s="1"/>
  <c r="D8" i="7"/>
  <c r="D9" i="7"/>
  <c r="D10" i="7"/>
  <c r="D11" i="7"/>
  <c r="D12" i="7"/>
  <c r="D13" i="7"/>
  <c r="D14" i="7"/>
  <c r="G14" i="7" s="1"/>
  <c r="D15" i="7"/>
  <c r="G15" i="7" s="1"/>
  <c r="D16" i="7"/>
  <c r="D17" i="7"/>
  <c r="D18" i="7"/>
  <c r="G18" i="7" s="1"/>
  <c r="D19" i="7"/>
  <c r="G19" i="7" s="1"/>
  <c r="D20" i="7"/>
  <c r="D21" i="7"/>
  <c r="D22" i="7"/>
  <c r="H23" i="10" l="1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G23" i="10"/>
  <c r="I20" i="1" l="1"/>
  <c r="H20" i="1"/>
  <c r="AL6" i="10"/>
  <c r="AL7" i="10"/>
  <c r="AM7" i="10" s="1"/>
  <c r="AL8" i="10"/>
  <c r="AM8" i="10" s="1"/>
  <c r="AL9" i="10"/>
  <c r="AM9" i="10" s="1"/>
  <c r="AL10" i="10"/>
  <c r="AM10" i="10" s="1"/>
  <c r="AL11" i="10"/>
  <c r="AM11" i="10" s="1"/>
  <c r="AL12" i="10"/>
  <c r="AM12" i="10" s="1"/>
  <c r="AL13" i="10"/>
  <c r="AM13" i="10" s="1"/>
  <c r="AL14" i="10"/>
  <c r="AM14" i="10" s="1"/>
  <c r="AL15" i="10"/>
  <c r="AM15" i="10" s="1"/>
  <c r="AL16" i="10"/>
  <c r="AM16" i="10" s="1"/>
  <c r="AL17" i="10"/>
  <c r="AM17" i="10" s="1"/>
  <c r="AL18" i="10"/>
  <c r="AM18" i="10" s="1"/>
  <c r="AM19" i="10"/>
  <c r="AM20" i="10"/>
  <c r="AM21" i="10"/>
  <c r="AL22" i="10"/>
  <c r="AM22" i="10" s="1"/>
  <c r="E6" i="8"/>
  <c r="F6" i="8" s="1"/>
  <c r="E14" i="8"/>
  <c r="F14" i="8" s="1"/>
  <c r="F25" i="8" s="1"/>
  <c r="E7" i="8"/>
  <c r="F7" i="8" s="1"/>
  <c r="E8" i="8"/>
  <c r="F8" i="8" s="1"/>
  <c r="E9" i="8"/>
  <c r="F9" i="8" s="1"/>
  <c r="E10" i="8"/>
  <c r="F10" i="8" s="1"/>
  <c r="E11" i="8"/>
  <c r="F11" i="8" s="1"/>
  <c r="E12" i="8"/>
  <c r="F12" i="8" s="1"/>
  <c r="E13" i="8"/>
  <c r="F13" i="8" s="1"/>
  <c r="E15" i="8"/>
  <c r="F15" i="8" s="1"/>
  <c r="E16" i="8"/>
  <c r="F16" i="8" s="1"/>
  <c r="E17" i="8"/>
  <c r="F17" i="8" s="1"/>
  <c r="E22" i="8"/>
  <c r="F22" i="8" s="1"/>
  <c r="F27" i="8" s="1"/>
  <c r="E5" i="8"/>
  <c r="D5" i="8"/>
  <c r="H6" i="7"/>
  <c r="H7" i="7"/>
  <c r="H8" i="7"/>
  <c r="H9" i="7"/>
  <c r="H10" i="7"/>
  <c r="H11" i="7"/>
  <c r="H12" i="7"/>
  <c r="H13" i="7"/>
  <c r="H14" i="7"/>
  <c r="H16" i="7"/>
  <c r="H17" i="7"/>
  <c r="H18" i="7"/>
  <c r="H19" i="7"/>
  <c r="H20" i="7"/>
  <c r="H21" i="7"/>
  <c r="H5" i="7"/>
  <c r="D5" i="7"/>
  <c r="F26" i="8" l="1"/>
  <c r="AM6" i="10"/>
  <c r="F28" i="8"/>
  <c r="B2" i="8"/>
  <c r="AL5" i="10" l="1"/>
  <c r="AL23" i="10" s="1"/>
  <c r="AM5" i="10" l="1"/>
  <c r="AM23" i="10" s="1"/>
  <c r="C2" i="7" l="1"/>
  <c r="F5" i="8"/>
  <c r="F24" i="8" s="1"/>
  <c r="G6" i="7"/>
  <c r="G8" i="7"/>
  <c r="G9" i="7"/>
  <c r="G10" i="7"/>
  <c r="G11" i="7"/>
  <c r="G12" i="7"/>
  <c r="G13" i="7"/>
  <c r="G16" i="7"/>
  <c r="G17" i="7"/>
  <c r="G20" i="7"/>
  <c r="G21" i="7"/>
  <c r="G22" i="7"/>
  <c r="D23" i="7" l="1"/>
  <c r="E23" i="8"/>
  <c r="D23" i="8"/>
  <c r="G5" i="7"/>
  <c r="G23" i="7" s="1"/>
  <c r="F23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500-000001000000}">
      <text>
        <r>
          <rPr>
            <sz val="10"/>
            <rFont val="Arial"/>
            <family val="2"/>
          </rPr>
          <t>일자
* 입력내용
   - 거래가 발생한 일자를 입력합니다.
   - 입력하지 않을 경우, 현재 일자로 적용됩니다.
* 입력글자제한
   - YYYYMMDD</t>
        </r>
      </text>
    </comment>
    <comment ref="B1" authorId="0" shapeId="0" xr:uid="{00000000-0006-0000-0500-000002000000}">
      <text>
        <r>
          <rPr>
            <sz val="10"/>
            <rFont val="Arial"/>
            <family val="2"/>
          </rPr>
          <t>순번
* 입력내용
- 동일한 전표로 묶고자 하는 경우 동일 순번을 부여합니다.
- 입력된 순번 및 전표묶음기준 설정에 따라 한 장의 전표로 처리됩니다.
* 입력글자제한
- 최대 4자</t>
        </r>
      </text>
    </comment>
    <comment ref="C1" authorId="0" shapeId="0" xr:uid="{00000000-0006-0000-0500-000003000000}">
      <text>
        <r>
          <rPr>
            <sz val="10"/>
            <rFont val="Arial"/>
            <family val="2"/>
          </rPr>
          <t>거래처코드
* 입력내용
   - 전표자료의 거래처코드를 입력합니다.
   - 거래처코드만 입력한 경우, 자동으로 거래처명이 입력됩니다.
   - 거래처명만 입력하는 경우, 일치하는 거래처가 있으면 자동으로 거래처코드가 입력됩니다.
* 입력글자제한
   - 기 등록된 거래처코드를 입력합니다.
   - 최대 30자</t>
        </r>
      </text>
    </comment>
    <comment ref="D1" authorId="0" shapeId="0" xr:uid="{00000000-0006-0000-0500-000004000000}">
      <text>
        <r>
          <rPr>
            <sz val="10"/>
            <rFont val="Arial"/>
            <family val="2"/>
          </rPr>
          <t>거래처명
* 입력내용
   - 전표자료의 거래처명을 입력합니다.
   - 거래처코드만 입력한 경우, 자동으로 거래처명이 입력됩니다.
   - 거래처명만 입력하는 경우, 일치하는 거래처가 있으면 자동으로 거래처코드가 입력됩니다.
* 입력글자제한
   - 최대 50자</t>
        </r>
      </text>
    </comment>
    <comment ref="E1" authorId="0" shapeId="0" xr:uid="{00000000-0006-0000-0500-000005000000}">
      <text>
        <r>
          <rPr>
            <sz val="10"/>
            <rFont val="Arial"/>
            <family val="2"/>
          </rPr>
          <t>담당자
* 입력내용
   - 전표자료를 담당하는 담당자코드 또는 명을 입력합니다.
* 입력글자제한
   - 기 등록된 담당자코드를 입력합니다.
   - 최대 코드 30자 , 명 50자</t>
        </r>
      </text>
    </comment>
    <comment ref="F1" authorId="0" shapeId="0" xr:uid="{00000000-0006-0000-0500-000006000000}">
      <text>
        <r>
          <rPr>
            <sz val="10"/>
            <rFont val="Arial"/>
            <family val="2"/>
          </rPr>
          <t>출하창고
* 입력내용
   - 거래품목이 입/출고되는 창고코드 또는 명을 입력합니다.
* 입력글자제한
   - 기 등록된 창고코드를 입력합니다.
   - 최대 코드 5자 , 명 50자</t>
        </r>
      </text>
    </comment>
    <comment ref="G1" authorId="0" shapeId="0" xr:uid="{00000000-0006-0000-0500-000007000000}">
      <text>
        <r>
          <rPr>
            <sz val="10"/>
            <rFont val="Arial"/>
            <family val="2"/>
          </rPr>
          <t>거래유형
* 입력내용
- 거래전표의 거래유형코드를 입력합니다.
- 입력하지 않을 경우, 기본양식의 기본값이 적용됩니다.
* 입력글자제한
- 기 등록된 거래유형코드 두 자리를 입력합니다.
- 12(부가세율 미적용)</t>
        </r>
      </text>
    </comment>
    <comment ref="H1" authorId="0" shapeId="0" xr:uid="{00000000-0006-0000-0500-000008000000}">
      <text>
        <r>
          <rPr>
            <sz val="10"/>
            <rFont val="Arial"/>
            <family val="2"/>
          </rPr>
          <t>외화코드
* 입력내용
   - 외화 거래인 경우 외화코드 또는 명을 입력합니다.
   - 입력하지 않을 경우, 내자 거래로 적용됩니다.
* 입력글자제한
   - 기 등록된 외화코드를 입력합니다.</t>
        </r>
      </text>
    </comment>
    <comment ref="I1" authorId="0" shapeId="0" xr:uid="{00000000-0006-0000-0500-000009000000}">
      <text>
        <r>
          <rPr>
            <sz val="10"/>
            <rFont val="Arial"/>
            <family val="2"/>
          </rPr>
          <t>환율
* 입력내용
   - 외화코드를 입력한 경우 거래시점의 환율을 입력합니다.
* 입력글자제한
   - 정수 최대 14자리
   - 소수 최대 4자리</t>
        </r>
      </text>
    </comment>
    <comment ref="J1" authorId="0" shapeId="0" xr:uid="{00000000-0006-0000-0500-00000A000000}">
      <text>
        <r>
          <rPr>
            <sz val="10"/>
            <rFont val="Arial"/>
            <family val="2"/>
          </rPr>
          <t>품목코드
* 입력내용
   - 전표에 등록할 품목코드를 입력합니다.
   - 바코드를 입력해도 품목정보를 인식할 수 있습니다.
   - 품목코드만 입력한 경우, 자동으로 품목명이 입력됩니다.
   - 품목명만 입력하는 경우, 일치하는 품목이 있으면 자동으로 품목코드가 입력됩니다.
* 입력글자제한
   - 기 등록된 픔목코드를 입력합니다.
   - 최대 20자</t>
        </r>
      </text>
    </comment>
    <comment ref="K1" authorId="0" shapeId="0" xr:uid="{00000000-0006-0000-0500-00000B000000}">
      <text>
        <r>
          <rPr>
            <sz val="10"/>
            <rFont val="Arial"/>
            <family val="2"/>
          </rPr>
          <t>품목명
* 입력내용
   - 전표에 등록하는 품목의 명칭을 입력합니다.
   - 품목코드만 입력한 경우, 자동으로 품목명이 입력됩니다.
   - 품목명만 입력하는 경우, 일치하는 품목이 있으면 자동으로 품목코드가 입력됩니다.
* 입력글자제한
   - 최대 100자</t>
        </r>
      </text>
    </comment>
    <comment ref="L1" authorId="0" shapeId="0" xr:uid="{00000000-0006-0000-0500-00000C000000}">
      <text>
        <r>
          <rPr>
            <sz val="10"/>
            <rFont val="Arial"/>
            <family val="2"/>
          </rPr>
          <t>규격
* 입력내용
   - 전표에 등록하는 품목의 규격을 입력합니다. 
* 입력글자제한
    - 최대 100자</t>
        </r>
      </text>
    </comment>
    <comment ref="M1" authorId="0" shapeId="0" xr:uid="{00000000-0006-0000-0500-00000D000000}">
      <text>
        <r>
          <rPr>
            <sz val="10"/>
            <rFont val="Arial"/>
            <family val="2"/>
          </rPr>
          <t>수량
* 입력내용
   - 품목의 입/출고수량을 입력합니다.
* 입력글자제한
   - 정수: 최대 12자리
   - 소수: 최대 6자리</t>
        </r>
      </text>
    </comment>
    <comment ref="N1" authorId="0" shapeId="0" xr:uid="{00000000-0006-0000-0500-00000E000000}">
      <text>
        <r>
          <rPr>
            <sz val="10"/>
            <rFont val="Arial"/>
            <family val="2"/>
          </rPr>
          <t>단가
* 입력내용
   - 품목의 거래단가를 입력합니다.
   - 입력하지 않을 경우 0원 처리됩니다. 
* 입력글자제한
   - 정수 최대 12자리
   - 소수 최대 6자리</t>
        </r>
      </text>
    </comment>
    <comment ref="O1" authorId="0" shapeId="0" xr:uid="{00000000-0006-0000-0500-00000F000000}">
      <text>
        <r>
          <rPr>
            <sz val="10"/>
            <rFont val="Arial"/>
            <family val="2"/>
          </rPr>
          <t>외화금액
* 입력내용
   - 외화거래인 경우 품목의 외화금액을 입력합니다.
   - 입력하지 않을 경우 0원 처리됩니다.
   - 수량, 단가, 환율을 입력해도 외화금액이 자동계산 되지는 않습니다.
* 입력글자제한
   - 정수 최대 12자리
   - 소수 최대 2자리</t>
        </r>
      </text>
    </comment>
    <comment ref="P1" authorId="0" shapeId="0" xr:uid="{00000000-0006-0000-0500-000010000000}">
      <text>
        <r>
          <rPr>
            <sz val="10"/>
            <rFont val="Arial"/>
            <family val="2"/>
          </rPr>
          <t>공급가액
* 입력내용
   - 품목의 공급가액을 입력합니다.
   - 입력하지 않을 경우 0원 처리됩니다. 
   - 수량, 단가를 입력해도 공급가액이 자동계산 되지는 않습니다.
* 입력글자제한
   - 정수 최대 12자리
   - 소수 최대 0자리</t>
        </r>
      </text>
    </comment>
    <comment ref="Q1" authorId="0" shapeId="0" xr:uid="{00000000-0006-0000-0500-000011000000}">
      <text>
        <r>
          <rPr>
            <sz val="10"/>
            <rFont val="Arial"/>
            <family val="2"/>
          </rPr>
          <t>적요
* 입력내용
   - 거래품목에 대한 특이사항 및 메모사항을 입력합니다.
   - 별도의 입력형식은 없으며, 텍스트 형태로 자유롭게 입력합니다.
* 입력글자제한
   - 최대 200자</t>
        </r>
      </text>
    </comment>
    <comment ref="R1" authorId="0" shapeId="0" xr:uid="{00000000-0006-0000-0500-000012000000}">
      <text>
        <r>
          <rPr>
            <sz val="10"/>
            <rFont val="Arial"/>
            <family val="2"/>
          </rPr>
          <t>관리항목
* 입력내용
   - 거래품목의 관리항목코드 또는 명을 입력합니다.
* 입력글자제한
   - 기 등록된 관리항목을 입력합니다.
   - 최대 코드 14자 , 명 60자</t>
        </r>
      </text>
    </comment>
    <comment ref="S1" authorId="0" shapeId="0" xr:uid="{00000000-0006-0000-0500-000013000000}">
      <text>
        <r>
          <rPr>
            <sz val="10"/>
            <rFont val="Arial"/>
            <family val="2"/>
          </rPr>
          <t>생산전표생성
* 입력내용
- 전표에 입력하는 품목의 생산전표생성 여부를 구분값으로 입력합니다.
- 제품/반제품/세트인 경우에만 적용됩니다.
* 입력글자제한
- 지정된 구분값 1자리를 입력합니다.
- 생산전표생성(Y) / 생산전표 생성안함(N)</t>
        </r>
      </text>
    </comment>
    <comment ref="T1" authorId="0" shapeId="0" xr:uid="{00000000-0006-0000-0500-000014000000}">
      <text>
        <r>
          <rPr>
            <sz val="10"/>
            <rFont val="Arial"/>
            <family val="2"/>
          </rPr>
          <t>해당 필드에 ECOUNT, Ecount 또는 ecount를 입력합니다. (대소문자구분)
행의 마지막을 의미합니다.</t>
        </r>
      </text>
    </comment>
  </commentList>
</comments>
</file>

<file path=xl/sharedStrings.xml><?xml version="1.0" encoding="utf-8"?>
<sst xmlns="http://schemas.openxmlformats.org/spreadsheetml/2006/main" count="458" uniqueCount="212">
  <si>
    <t>유기농210g</t>
    <phoneticPr fontId="1" type="noConversion"/>
  </si>
  <si>
    <t>유기농460g</t>
    <phoneticPr fontId="1" type="noConversion"/>
  </si>
  <si>
    <t>숙주230g</t>
    <phoneticPr fontId="1" type="noConversion"/>
  </si>
  <si>
    <t>숙주330g</t>
    <phoneticPr fontId="1" type="noConversion"/>
  </si>
  <si>
    <t>발주단위</t>
  </si>
  <si>
    <t>BOX</t>
  </si>
  <si>
    <t>품목</t>
    <phoneticPr fontId="1" type="noConversion"/>
  </si>
  <si>
    <t>EA</t>
  </si>
  <si>
    <t>입수량</t>
    <phoneticPr fontId="1" type="noConversion"/>
  </si>
  <si>
    <t>자재코드</t>
    <phoneticPr fontId="1" type="noConversion"/>
  </si>
  <si>
    <t>발주단위</t>
    <phoneticPr fontId="1" type="noConversion"/>
  </si>
  <si>
    <t>BOX</t>
    <phoneticPr fontId="1" type="noConversion"/>
  </si>
  <si>
    <t>EA</t>
    <phoneticPr fontId="1" type="noConversion"/>
  </si>
  <si>
    <t>재고</t>
    <phoneticPr fontId="1" type="noConversion"/>
  </si>
  <si>
    <t>자재코드</t>
  </si>
  <si>
    <t>2006973</t>
  </si>
  <si>
    <t>2010555</t>
  </si>
  <si>
    <t>2012183</t>
  </si>
  <si>
    <t>2012684</t>
  </si>
  <si>
    <t>2014226</t>
  </si>
  <si>
    <t>2013020</t>
  </si>
  <si>
    <t>2023519</t>
  </si>
  <si>
    <t>2024312</t>
  </si>
  <si>
    <t>2024313</t>
  </si>
  <si>
    <t>2024314</t>
  </si>
  <si>
    <t>2024315</t>
  </si>
  <si>
    <t>2024316</t>
  </si>
  <si>
    <t>2009480</t>
  </si>
  <si>
    <t>2009976</t>
  </si>
  <si>
    <t>2011715</t>
  </si>
  <si>
    <t>2014067</t>
  </si>
  <si>
    <t>입수량</t>
  </si>
  <si>
    <t>품목명</t>
    <phoneticPr fontId="1" type="noConversion"/>
  </si>
  <si>
    <t>2012869</t>
  </si>
  <si>
    <t>국산숙주나물400g</t>
  </si>
  <si>
    <t>무농약340g(6입)</t>
    <phoneticPr fontId="1" type="noConversion"/>
  </si>
  <si>
    <t>BOX</t>
    <phoneticPr fontId="1" type="noConversion"/>
  </si>
  <si>
    <t>무농약340g</t>
    <phoneticPr fontId="1" type="noConversion"/>
  </si>
  <si>
    <t>무농약400g</t>
    <phoneticPr fontId="1" type="noConversion"/>
  </si>
  <si>
    <t>쉐프원무농약1000g</t>
    <phoneticPr fontId="1" type="noConversion"/>
  </si>
  <si>
    <t>EA</t>
    <phoneticPr fontId="1" type="noConversion"/>
  </si>
  <si>
    <t>아작340g</t>
    <phoneticPr fontId="1" type="noConversion"/>
  </si>
  <si>
    <t>아작400g</t>
    <phoneticPr fontId="1" type="noConversion"/>
  </si>
  <si>
    <t>쉐프원전통콩나물400g</t>
    <phoneticPr fontId="1" type="noConversion"/>
  </si>
  <si>
    <t>쉐프원전통콩나물800g</t>
    <phoneticPr fontId="1" type="noConversion"/>
  </si>
  <si>
    <t>쉐프원전통숙주1000g</t>
    <phoneticPr fontId="1" type="noConversion"/>
  </si>
  <si>
    <t>전통350g</t>
    <phoneticPr fontId="1" type="noConversion"/>
  </si>
  <si>
    <t>요리숙주200g</t>
    <phoneticPr fontId="1" type="noConversion"/>
  </si>
  <si>
    <t>이카운트 품목코드</t>
    <phoneticPr fontId="1" type="noConversion"/>
  </si>
  <si>
    <t>일자</t>
  </si>
  <si>
    <t>순번</t>
  </si>
  <si>
    <t>거래처코드</t>
  </si>
  <si>
    <t>거래처명</t>
  </si>
  <si>
    <t>담당자</t>
  </si>
  <si>
    <t>출하창고</t>
  </si>
  <si>
    <t>거래유형</t>
  </si>
  <si>
    <t>통화</t>
  </si>
  <si>
    <t>환율</t>
  </si>
  <si>
    <t>품목코드</t>
  </si>
  <si>
    <t>품목명</t>
  </si>
  <si>
    <t>규격</t>
  </si>
  <si>
    <t>수량</t>
  </si>
  <si>
    <t>단가</t>
  </si>
  <si>
    <t>외화금액</t>
  </si>
  <si>
    <t>공급가액</t>
  </si>
  <si>
    <t>적요</t>
  </si>
  <si>
    <t>관리항목</t>
  </si>
  <si>
    <t>생산전표생성</t>
  </si>
  <si>
    <t>Ecount</t>
  </si>
  <si>
    <t>단가</t>
    <phoneticPr fontId="1" type="noConversion"/>
  </si>
  <si>
    <t>거래처코드</t>
    <phoneticPr fontId="1" type="noConversion"/>
  </si>
  <si>
    <t>00001</t>
    <phoneticPr fontId="1" type="noConversion"/>
  </si>
  <si>
    <t>출하창고</t>
    <phoneticPr fontId="1" type="noConversion"/>
  </si>
  <si>
    <t>00002</t>
    <phoneticPr fontId="1" type="noConversion"/>
  </si>
  <si>
    <t>유기농숨쉬는콩나물460g</t>
    <phoneticPr fontId="1" type="noConversion"/>
  </si>
  <si>
    <t>00003</t>
    <phoneticPr fontId="1" type="noConversion"/>
  </si>
  <si>
    <t>국산숙주230g</t>
    <phoneticPr fontId="1" type="noConversion"/>
  </si>
  <si>
    <t>국산숙주230g+100g</t>
    <phoneticPr fontId="1" type="noConversion"/>
  </si>
  <si>
    <t>00033</t>
    <phoneticPr fontId="1" type="noConversion"/>
  </si>
  <si>
    <t>BOX</t>
    <phoneticPr fontId="1" type="noConversion"/>
  </si>
  <si>
    <t>00030</t>
    <phoneticPr fontId="1" type="noConversion"/>
  </si>
  <si>
    <t>국산무농약콩나물340g(6입)</t>
    <phoneticPr fontId="1" type="noConversion"/>
  </si>
  <si>
    <t>00004</t>
    <phoneticPr fontId="1" type="noConversion"/>
  </si>
  <si>
    <t>국산무농약콩나물340g</t>
    <phoneticPr fontId="1" type="noConversion"/>
  </si>
  <si>
    <t>00005</t>
    <phoneticPr fontId="1" type="noConversion"/>
  </si>
  <si>
    <t>(증량)국산무농약콩나물340g+60g(6입)</t>
    <phoneticPr fontId="1" type="noConversion"/>
  </si>
  <si>
    <t>00061</t>
    <phoneticPr fontId="1" type="noConversion"/>
  </si>
  <si>
    <t>쉐프원 국산 무농약콩나물 1kg</t>
    <phoneticPr fontId="1" type="noConversion"/>
  </si>
  <si>
    <t>00006</t>
    <phoneticPr fontId="1" type="noConversion"/>
  </si>
  <si>
    <t>국산아작콩나물340g</t>
    <phoneticPr fontId="1" type="noConversion"/>
  </si>
  <si>
    <t>00007</t>
    <phoneticPr fontId="1" type="noConversion"/>
  </si>
  <si>
    <t>(증량)국산아작콩나물340g+60g</t>
    <phoneticPr fontId="1" type="noConversion"/>
  </si>
  <si>
    <t>00062</t>
    <phoneticPr fontId="1" type="noConversion"/>
  </si>
  <si>
    <t>쉐프원 전통콩나물 400g</t>
    <phoneticPr fontId="1" type="noConversion"/>
  </si>
  <si>
    <t>00063</t>
    <phoneticPr fontId="1" type="noConversion"/>
  </si>
  <si>
    <t>쉐프원 전통콩나물 800g</t>
    <phoneticPr fontId="1" type="noConversion"/>
  </si>
  <si>
    <t>00064</t>
    <phoneticPr fontId="1" type="noConversion"/>
  </si>
  <si>
    <t>쉐프원 전통콩나물 1kg</t>
    <phoneticPr fontId="1" type="noConversion"/>
  </si>
  <si>
    <t>00065</t>
    <phoneticPr fontId="1" type="noConversion"/>
  </si>
  <si>
    <t>쉐프원 전통 숙주 1kg</t>
    <phoneticPr fontId="1" type="noConversion"/>
  </si>
  <si>
    <t>00071</t>
    <phoneticPr fontId="1" type="noConversion"/>
  </si>
  <si>
    <t>숨쉬는전통콩나물350g</t>
    <phoneticPr fontId="1" type="noConversion"/>
  </si>
  <si>
    <t>00072</t>
    <phoneticPr fontId="1" type="noConversion"/>
  </si>
  <si>
    <t>요리숙주나물200g</t>
    <phoneticPr fontId="1" type="noConversion"/>
  </si>
  <si>
    <t>유기농숨쉬는콩나물210g</t>
    <phoneticPr fontId="1" type="noConversion"/>
  </si>
  <si>
    <t>구분</t>
    <phoneticPr fontId="12" type="noConversion"/>
  </si>
  <si>
    <t>용  인  센  터</t>
    <phoneticPr fontId="12" type="noConversion"/>
  </si>
  <si>
    <t>입수량</t>
    <phoneticPr fontId="12" type="noConversion"/>
  </si>
  <si>
    <t>P-box</t>
    <phoneticPr fontId="12" type="noConversion"/>
  </si>
  <si>
    <t>kcp</t>
    <phoneticPr fontId="12" type="noConversion"/>
  </si>
  <si>
    <t>지함</t>
    <phoneticPr fontId="12" type="noConversion"/>
  </si>
  <si>
    <t>계</t>
    <phoneticPr fontId="12" type="noConversion"/>
  </si>
  <si>
    <t>재고</t>
    <phoneticPr fontId="12" type="noConversion"/>
  </si>
  <si>
    <t>유기농</t>
    <phoneticPr fontId="12" type="noConversion"/>
  </si>
  <si>
    <t>210g</t>
    <phoneticPr fontId="12" type="noConversion"/>
  </si>
  <si>
    <t>-</t>
    <phoneticPr fontId="12" type="noConversion"/>
  </si>
  <si>
    <t>460g</t>
    <phoneticPr fontId="12" type="noConversion"/>
  </si>
  <si>
    <t>숙 주</t>
    <phoneticPr fontId="12" type="noConversion"/>
  </si>
  <si>
    <t>230g</t>
    <phoneticPr fontId="12" type="noConversion"/>
  </si>
  <si>
    <t>330g</t>
    <phoneticPr fontId="12" type="noConversion"/>
  </si>
  <si>
    <t>400g</t>
    <phoneticPr fontId="12" type="noConversion"/>
  </si>
  <si>
    <t>무농약</t>
    <phoneticPr fontId="12" type="noConversion"/>
  </si>
  <si>
    <t>340g</t>
    <phoneticPr fontId="12" type="noConversion"/>
  </si>
  <si>
    <t>쉐프원무농약</t>
    <phoneticPr fontId="12" type="noConversion"/>
  </si>
  <si>
    <t>1000g</t>
    <phoneticPr fontId="12" type="noConversion"/>
  </si>
  <si>
    <t>아 작</t>
    <phoneticPr fontId="12" type="noConversion"/>
  </si>
  <si>
    <t>쉐프원전통콩나물</t>
    <phoneticPr fontId="12" type="noConversion"/>
  </si>
  <si>
    <t>800g</t>
    <phoneticPr fontId="12" type="noConversion"/>
  </si>
  <si>
    <t>전통콩나물</t>
    <phoneticPr fontId="12" type="noConversion"/>
  </si>
  <si>
    <t>350g</t>
    <phoneticPr fontId="12" type="noConversion"/>
  </si>
  <si>
    <t>요리숙주</t>
    <phoneticPr fontId="12" type="noConversion"/>
  </si>
  <si>
    <t>200g</t>
    <phoneticPr fontId="12" type="noConversion"/>
  </si>
  <si>
    <t>계</t>
    <phoneticPr fontId="12" type="noConversion"/>
  </si>
  <si>
    <t>대상  발주 집계표</t>
    <phoneticPr fontId="12" type="noConversion"/>
  </si>
  <si>
    <t>납   품   일 :</t>
    <phoneticPr fontId="12" type="noConversion"/>
  </si>
  <si>
    <t>구         분</t>
    <phoneticPr fontId="12" type="noConversion"/>
  </si>
  <si>
    <t>용인 센터</t>
    <phoneticPr fontId="12" type="noConversion"/>
  </si>
  <si>
    <t>중  량
(kg환산)</t>
    <phoneticPr fontId="12" type="noConversion"/>
  </si>
  <si>
    <t>품  명</t>
    <phoneticPr fontId="12" type="noConversion"/>
  </si>
  <si>
    <t>중량</t>
    <phoneticPr fontId="12" type="noConversion"/>
  </si>
  <si>
    <t>박스</t>
    <phoneticPr fontId="12" type="noConversion"/>
  </si>
  <si>
    <t>봉지</t>
    <phoneticPr fontId="12" type="noConversion"/>
  </si>
  <si>
    <t>숙 주</t>
    <phoneticPr fontId="12" type="noConversion"/>
  </si>
  <si>
    <t>무농약</t>
    <phoneticPr fontId="12" type="noConversion"/>
  </si>
  <si>
    <t>쉐프원무농약</t>
    <phoneticPr fontId="12" type="noConversion"/>
  </si>
  <si>
    <t>아 작</t>
    <phoneticPr fontId="12" type="noConversion"/>
  </si>
  <si>
    <t>전통콩나물</t>
    <phoneticPr fontId="12" type="noConversion"/>
  </si>
  <si>
    <t>요리숙주</t>
    <phoneticPr fontId="12" type="noConversion"/>
  </si>
  <si>
    <t>비고</t>
    <phoneticPr fontId="12" type="noConversion"/>
  </si>
  <si>
    <t>유기농 계</t>
    <phoneticPr fontId="12" type="noConversion"/>
  </si>
  <si>
    <t>숙   주 계</t>
    <phoneticPr fontId="12" type="noConversion"/>
  </si>
  <si>
    <t>콩나물 계</t>
    <phoneticPr fontId="12" type="noConversion"/>
  </si>
  <si>
    <t>수입 콩나물 계</t>
    <phoneticPr fontId="12" type="noConversion"/>
  </si>
  <si>
    <t>수입 숙주나물 계</t>
    <phoneticPr fontId="12" type="noConversion"/>
  </si>
  <si>
    <t>총합</t>
    <phoneticPr fontId="1" type="noConversion"/>
  </si>
  <si>
    <t>후처리방식</t>
    <phoneticPr fontId="1" type="noConversion"/>
  </si>
  <si>
    <t>=</t>
    <phoneticPr fontId="1" type="noConversion"/>
  </si>
  <si>
    <t>피연산</t>
    <phoneticPr fontId="1" type="noConversion"/>
  </si>
  <si>
    <t>연산</t>
    <phoneticPr fontId="1" type="noConversion"/>
  </si>
  <si>
    <t>자재명</t>
  </si>
  <si>
    <t>납품수량</t>
  </si>
  <si>
    <t>납품예정일</t>
  </si>
  <si>
    <t>플랜트명</t>
  </si>
  <si>
    <t>용인저온센터</t>
  </si>
  <si>
    <t>(증량)국산무농약콩나물340g+60g(6입)</t>
  </si>
  <si>
    <t>발주서 1장</t>
  </si>
  <si>
    <t>총합</t>
  </si>
  <si>
    <t>단위</t>
    <phoneticPr fontId="1" type="noConversion"/>
  </si>
  <si>
    <t>단가</t>
    <phoneticPr fontId="12" type="noConversion"/>
  </si>
  <si>
    <t>봉지합계</t>
    <phoneticPr fontId="12" type="noConversion"/>
  </si>
  <si>
    <t>급액합계</t>
    <phoneticPr fontId="12" type="noConversion"/>
  </si>
  <si>
    <t>용인
센터</t>
    <phoneticPr fontId="12" type="noConversion"/>
  </si>
  <si>
    <t>p-box
(NG531)</t>
    <phoneticPr fontId="12" type="noConversion"/>
  </si>
  <si>
    <t>숙주</t>
    <phoneticPr fontId="12" type="noConversion"/>
  </si>
  <si>
    <t>아작</t>
    <phoneticPr fontId="12" type="noConversion"/>
  </si>
  <si>
    <t>쉐프원전통숙주</t>
    <phoneticPr fontId="12" type="noConversion"/>
  </si>
  <si>
    <t>전통콩나물</t>
    <phoneticPr fontId="12" type="noConversion"/>
  </si>
  <si>
    <t>계</t>
    <phoneticPr fontId="12" type="noConversion"/>
  </si>
  <si>
    <t>콩나물</t>
    <phoneticPr fontId="12" type="noConversion"/>
  </si>
  <si>
    <t>숙주나물</t>
    <phoneticPr fontId="12" type="noConversion"/>
  </si>
  <si>
    <t>유기농 콩나물</t>
    <phoneticPr fontId="12" type="noConversion"/>
  </si>
  <si>
    <t>수입 콩나물</t>
    <phoneticPr fontId="12" type="noConversion"/>
  </si>
  <si>
    <t>수입 숙주나물</t>
    <phoneticPr fontId="12" type="noConversion"/>
  </si>
  <si>
    <t>합      계</t>
    <phoneticPr fontId="12" type="noConversion"/>
  </si>
  <si>
    <t xml:space="preserve">대상발주현황       </t>
    <phoneticPr fontId="12" type="noConversion"/>
  </si>
  <si>
    <t>2010134</t>
  </si>
  <si>
    <t>국산무농약콩나물200g</t>
  </si>
  <si>
    <t>2012868</t>
  </si>
  <si>
    <t>국산무농약콩나물200g(농협)</t>
  </si>
  <si>
    <t>00079</t>
    <phoneticPr fontId="1" type="noConversion"/>
  </si>
  <si>
    <t>00078</t>
    <phoneticPr fontId="1" type="noConversion"/>
  </si>
  <si>
    <t>200g</t>
    <phoneticPr fontId="1" type="noConversion"/>
  </si>
  <si>
    <t>200g(농협)</t>
    <phoneticPr fontId="1" type="noConversion"/>
  </si>
  <si>
    <t>200g(농협)</t>
    <phoneticPr fontId="12" type="noConversion"/>
  </si>
  <si>
    <t>00055</t>
    <phoneticPr fontId="1" type="noConversion"/>
  </si>
  <si>
    <t xml:space="preserve">※ 3월 6일 업데이트 내용
- 무농약 200, 무농약 200 농협 추가
- 발주서와 확인서 순서 바꿈
  (유기농-국산콩나물-수입콩나물-
   국산숙주-수입숙주-쉐프원으로 변경)
</t>
    <phoneticPr fontId="1" type="noConversion"/>
  </si>
  <si>
    <t>쉐프원
전통숙주나물</t>
    <phoneticPr fontId="12" type="noConversion"/>
  </si>
  <si>
    <t>쉐프원
전통콩나물</t>
    <phoneticPr fontId="12" type="noConversion"/>
  </si>
  <si>
    <t>쉐프원 전통 숙주 1kg</t>
  </si>
  <si>
    <t>쉐프원 국산 무농약콩나물 1kg</t>
  </si>
  <si>
    <t>국산숙주230g</t>
  </si>
  <si>
    <t>(증량)국산아작콩나물340g+60g</t>
  </si>
  <si>
    <t>유기농숨쉬는콩나물460g</t>
  </si>
  <si>
    <t>요리숙주나물200g</t>
  </si>
  <si>
    <t>국산무농약콩나물340g</t>
  </si>
  <si>
    <t>국산아작콩나물340g</t>
  </si>
  <si>
    <t>국산무농약콩나물340g(6입)</t>
  </si>
  <si>
    <t>유기농숨쉬는콩나물210g</t>
  </si>
  <si>
    <t>발주서 2장</t>
  </si>
  <si>
    <t>발주서 3장</t>
  </si>
  <si>
    <t>쉐프원 전통콩나물 400g</t>
  </si>
  <si>
    <t>쉐프원 전통콩나물 800g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</si>
</sst>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-* #,##0_-;\-* #,##0_-;_-* &quot;-&quot;_-;_-@_-"/>
    <numFmt numFmtId="176" formatCode="###&quot;g&quot;"/>
    <numFmt numFmtId="177" formatCode="0_ "/>
    <numFmt numFmtId="178" formatCode="_-* #,##0.0_-;\-* #,##0.0_-;_-* &quot;-&quot;_-;_-@_-"/>
    <numFmt numFmtId="179" formatCode="[$-F800]dddd\,\ mmmm\ dd\,\ yyyy"/>
    <numFmt numFmtId="180" formatCode="_ * #,##0_ ;_ * \-#,##0_ ;_ * &quot;-&quot;_ ;_ @_ "/>
    <numFmt numFmtId="181" formatCode="_ * #\!\,##0\!.00_ ;_ * &quot;₩&quot;\!\-#\!\,##0\!.00_ ;_ * &quot;-&quot;??_ ;_ @_ "/>
    <numFmt numFmtId="182" formatCode="General&quot;년&quot;"/>
    <numFmt numFmtId="183" formatCode="General&quot;월&quot;"/>
    <numFmt numFmtId="184" formatCode="#,##0_ "/>
    <numFmt numFmtId="185" formatCode="General&quot;g (농협)&quot;"/>
  </numFmts>
  <fonts count="3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10"/>
      <color theme="1"/>
      <name val="맑은 고딕"/>
      <family val="2"/>
      <charset val="129"/>
      <scheme val="minor"/>
    </font>
    <font>
      <sz val="11"/>
      <color indexed="8"/>
      <name val="맑은 고딕"/>
      <family val="2"/>
      <scheme val="minor"/>
    </font>
    <font>
      <b/>
      <sz val="11"/>
      <name val="Arial"/>
      <family val="2"/>
    </font>
    <font>
      <sz val="1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name val="Arial"/>
      <family val="2"/>
    </font>
    <font>
      <sz val="9"/>
      <name val="맑은 고딕"/>
      <family val="3"/>
      <charset val="129"/>
      <scheme val="minor"/>
    </font>
    <font>
      <sz val="11"/>
      <name val="돋움"/>
      <family val="3"/>
      <charset val="129"/>
    </font>
    <font>
      <sz val="14"/>
      <name val="HY견명조"/>
      <family val="1"/>
      <charset val="129"/>
    </font>
    <font>
      <sz val="8"/>
      <name val="돋움"/>
      <family val="3"/>
      <charset val="129"/>
    </font>
    <font>
      <i/>
      <sz val="14"/>
      <name val="HY견명조"/>
      <family val="1"/>
      <charset val="129"/>
    </font>
    <font>
      <sz val="14"/>
      <color theme="1"/>
      <name val="HY견명조"/>
      <family val="1"/>
      <charset val="129"/>
    </font>
    <font>
      <sz val="12"/>
      <name val="HY견명조"/>
      <family val="1"/>
      <charset val="129"/>
    </font>
    <font>
      <sz val="13"/>
      <name val="HY견명조"/>
      <family val="1"/>
      <charset val="129"/>
    </font>
    <font>
      <b/>
      <u/>
      <sz val="24"/>
      <name val="HY견명조"/>
      <family val="1"/>
      <charset val="129"/>
    </font>
    <font>
      <b/>
      <sz val="15"/>
      <name val="HY견명조"/>
      <family val="1"/>
      <charset val="129"/>
    </font>
    <font>
      <sz val="10"/>
      <name val="HY견명조"/>
      <family val="1"/>
      <charset val="129"/>
    </font>
    <font>
      <b/>
      <sz val="12"/>
      <name val="Arial"/>
      <family val="2"/>
    </font>
    <font>
      <sz val="11"/>
      <name val="HY견명조"/>
      <family val="1"/>
      <charset val="129"/>
    </font>
    <font>
      <sz val="9"/>
      <name val="HY견명조"/>
      <family val="1"/>
      <charset val="129"/>
    </font>
    <font>
      <sz val="18"/>
      <name val="HY견명조"/>
      <family val="1"/>
      <charset val="129"/>
    </font>
    <font>
      <sz val="22"/>
      <name val="HY견명조"/>
      <family val="1"/>
      <charset val="129"/>
    </font>
    <font>
      <sz val="24"/>
      <name val="HY견명조"/>
      <family val="1"/>
      <charset val="129"/>
    </font>
    <font>
      <sz val="8"/>
      <name val="HY견명조"/>
      <family val="1"/>
      <charset val="129"/>
    </font>
    <font>
      <sz val="9"/>
      <color rgb="FFFF0000"/>
      <name val="HY견명조"/>
      <family val="1"/>
      <charset val="129"/>
    </font>
    <font>
      <sz val="11"/>
      <color rgb="FFFF0000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5D86E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indexed="64"/>
      </bottom>
      <diagonal/>
    </border>
    <border>
      <left style="medium">
        <color indexed="64"/>
      </left>
      <right style="thin">
        <color rgb="FFD9D9D9"/>
      </right>
      <top style="thin">
        <color indexed="64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indexed="64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thin">
        <color indexed="64"/>
      </top>
      <bottom style="thin">
        <color rgb="FFD9D9D9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indexed="64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thin">
        <color indexed="64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 style="thin">
        <color rgb="FFD9D9D9"/>
      </right>
      <top/>
      <bottom/>
      <diagonal/>
    </border>
    <border>
      <left style="medium">
        <color indexed="64"/>
      </left>
      <right style="thin">
        <color rgb="FFD9D9D9"/>
      </right>
      <top/>
      <bottom style="thin">
        <color rgb="FFD9D9D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4" fillId="0" borderId="0">
      <alignment vertical="center"/>
    </xf>
    <xf numFmtId="0" fontId="10" fillId="0" borderId="0"/>
    <xf numFmtId="41" fontId="10" fillId="0" borderId="0" applyFont="0" applyFill="0" applyBorder="0" applyAlignment="0" applyProtection="0"/>
    <xf numFmtId="0" fontId="20" fillId="0" borderId="30" applyNumberFormat="0" applyAlignment="0" applyProtection="0">
      <alignment horizontal="left" vertical="center"/>
    </xf>
    <xf numFmtId="0" fontId="20" fillId="0" borderId="4">
      <alignment horizontal="left" vertical="center"/>
    </xf>
    <xf numFmtId="180" fontId="10" fillId="0" borderId="0" applyFont="0" applyFill="0" applyBorder="0" applyAlignment="0" applyProtection="0"/>
    <xf numFmtId="181" fontId="10" fillId="0" borderId="0" applyFont="0" applyFill="0" applyBorder="0" applyAlignment="0" applyProtection="0"/>
  </cellStyleXfs>
  <cellXfs count="212">
    <xf numFmtId="0" fontId="0" fillId="0" borderId="0" xfId="0">
      <alignment vertical="center"/>
    </xf>
    <xf numFmtId="0" fontId="2" fillId="0" borderId="0" xfId="0" applyFont="1" applyAlignment="1"/>
    <xf numFmtId="3" fontId="2" fillId="0" borderId="0" xfId="0" applyNumberFormat="1" applyFont="1" applyAlignment="1">
      <alignment horizontal="right"/>
    </xf>
    <xf numFmtId="0" fontId="0" fillId="0" borderId="0" xfId="0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>
      <alignment vertical="center"/>
    </xf>
    <xf numFmtId="0" fontId="0" fillId="0" borderId="0" xfId="0" applyFill="1">
      <alignment vertical="center"/>
    </xf>
    <xf numFmtId="0" fontId="2" fillId="0" borderId="0" xfId="0" applyFont="1" applyFill="1" applyAlignment="1"/>
    <xf numFmtId="41" fontId="0" fillId="0" borderId="0" xfId="0" applyNumberFormat="1">
      <alignment vertical="center"/>
    </xf>
    <xf numFmtId="41" fontId="2" fillId="0" borderId="0" xfId="0" applyNumberFormat="1" applyFont="1" applyFill="1" applyBorder="1" applyAlignment="1"/>
    <xf numFmtId="41" fontId="2" fillId="0" borderId="0" xfId="0" applyNumberFormat="1" applyFont="1" applyAlignment="1"/>
    <xf numFmtId="0" fontId="3" fillId="0" borderId="0" xfId="0" applyFont="1">
      <alignment vertical="center"/>
    </xf>
    <xf numFmtId="41" fontId="3" fillId="0" borderId="0" xfId="0" applyNumberFormat="1" applyFont="1">
      <alignment vertical="center"/>
    </xf>
    <xf numFmtId="49" fontId="0" fillId="0" borderId="0" xfId="0" applyNumberFormat="1">
      <alignment vertical="center"/>
    </xf>
    <xf numFmtId="0" fontId="4" fillId="0" borderId="0" xfId="1">
      <alignment vertical="center"/>
    </xf>
    <xf numFmtId="49" fontId="4" fillId="0" borderId="0" xfId="1" applyNumberFormat="1">
      <alignment vertical="center"/>
    </xf>
    <xf numFmtId="0" fontId="5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6" fillId="0" borderId="0" xfId="0" applyFont="1" applyAlignment="1"/>
    <xf numFmtId="49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49" fontId="7" fillId="0" borderId="0" xfId="0" applyNumberFormat="1" applyFont="1" applyAlignment="1">
      <alignment vertical="center"/>
    </xf>
    <xf numFmtId="0" fontId="7" fillId="0" borderId="0" xfId="0" applyFont="1">
      <alignment vertical="center"/>
    </xf>
    <xf numFmtId="49" fontId="7" fillId="0" borderId="0" xfId="0" applyNumberFormat="1" applyFont="1">
      <alignment vertical="center"/>
    </xf>
    <xf numFmtId="0" fontId="8" fillId="0" borderId="0" xfId="0" applyFont="1" applyAlignment="1"/>
    <xf numFmtId="0" fontId="9" fillId="0" borderId="0" xfId="0" applyFont="1" applyAlignment="1"/>
    <xf numFmtId="0" fontId="13" fillId="0" borderId="3" xfId="2" applyFont="1" applyFill="1" applyBorder="1" applyAlignment="1">
      <alignment vertical="center"/>
    </xf>
    <xf numFmtId="0" fontId="11" fillId="0" borderId="4" xfId="2" applyFont="1" applyFill="1" applyBorder="1" applyAlignment="1">
      <alignment vertical="center"/>
    </xf>
    <xf numFmtId="0" fontId="11" fillId="0" borderId="0" xfId="2" applyFont="1" applyFill="1"/>
    <xf numFmtId="0" fontId="11" fillId="0" borderId="1" xfId="2" applyFont="1" applyFill="1" applyBorder="1" applyAlignment="1">
      <alignment horizontal="center" vertical="center"/>
    </xf>
    <xf numFmtId="0" fontId="14" fillId="0" borderId="1" xfId="2" applyFont="1" applyFill="1" applyBorder="1" applyAlignment="1">
      <alignment horizontal="center" vertical="center"/>
    </xf>
    <xf numFmtId="176" fontId="11" fillId="0" borderId="1" xfId="2" applyNumberFormat="1" applyFont="1" applyFill="1" applyBorder="1" applyAlignment="1">
      <alignment horizontal="center" vertical="center"/>
    </xf>
    <xf numFmtId="177" fontId="11" fillId="0" borderId="1" xfId="2" applyNumberFormat="1" applyFont="1" applyFill="1" applyBorder="1" applyAlignment="1">
      <alignment horizontal="center" vertical="center"/>
    </xf>
    <xf numFmtId="41" fontId="11" fillId="0" borderId="1" xfId="2" applyNumberFormat="1" applyFont="1" applyFill="1" applyBorder="1" applyAlignment="1">
      <alignment horizontal="center" vertical="center"/>
    </xf>
    <xf numFmtId="41" fontId="11" fillId="0" borderId="1" xfId="2" applyNumberFormat="1" applyFont="1" applyFill="1" applyBorder="1" applyAlignment="1">
      <alignment horizontal="right" vertical="center"/>
    </xf>
    <xf numFmtId="178" fontId="16" fillId="0" borderId="1" xfId="2" applyNumberFormat="1" applyFont="1" applyFill="1" applyBorder="1" applyAlignment="1">
      <alignment horizontal="right" vertical="center"/>
    </xf>
    <xf numFmtId="0" fontId="14" fillId="0" borderId="0" xfId="2" applyFont="1" applyFill="1" applyAlignment="1">
      <alignment horizontal="center"/>
    </xf>
    <xf numFmtId="0" fontId="18" fillId="0" borderId="0" xfId="2" applyFont="1" applyFill="1" applyAlignment="1">
      <alignment horizontal="center" vertical="center"/>
    </xf>
    <xf numFmtId="0" fontId="16" fillId="0" borderId="9" xfId="2" applyFont="1" applyFill="1" applyBorder="1" applyAlignment="1">
      <alignment horizontal="right" vertical="center"/>
    </xf>
    <xf numFmtId="0" fontId="16" fillId="0" borderId="10" xfId="2" applyFont="1" applyFill="1" applyBorder="1" applyAlignment="1">
      <alignment horizontal="center" vertical="center"/>
    </xf>
    <xf numFmtId="0" fontId="16" fillId="0" borderId="11" xfId="2" applyFont="1" applyFill="1" applyBorder="1" applyAlignment="1">
      <alignment horizontal="center" vertical="center"/>
    </xf>
    <xf numFmtId="0" fontId="11" fillId="0" borderId="0" xfId="2" applyFont="1" applyFill="1" applyAlignment="1">
      <alignment horizontal="center" vertical="center"/>
    </xf>
    <xf numFmtId="0" fontId="15" fillId="0" borderId="19" xfId="2" applyFont="1" applyFill="1" applyBorder="1" applyAlignment="1">
      <alignment horizontal="center" vertical="center"/>
    </xf>
    <xf numFmtId="41" fontId="19" fillId="0" borderId="22" xfId="2" applyNumberFormat="1" applyFont="1" applyFill="1" applyBorder="1" applyAlignment="1">
      <alignment horizontal="center" vertical="center"/>
    </xf>
    <xf numFmtId="0" fontId="15" fillId="0" borderId="14" xfId="2" applyFont="1" applyFill="1" applyBorder="1" applyAlignment="1">
      <alignment horizontal="center" vertical="center"/>
    </xf>
    <xf numFmtId="41" fontId="19" fillId="0" borderId="16" xfId="2" applyNumberFormat="1" applyFont="1" applyFill="1" applyBorder="1" applyAlignment="1">
      <alignment horizontal="center" vertical="center"/>
    </xf>
    <xf numFmtId="0" fontId="11" fillId="0" borderId="28" xfId="2" applyFont="1" applyFill="1" applyBorder="1" applyAlignment="1">
      <alignment horizontal="center" vertical="center"/>
    </xf>
    <xf numFmtId="41" fontId="11" fillId="0" borderId="29" xfId="2" applyNumberFormat="1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0" fontId="6" fillId="0" borderId="0" xfId="0" applyFont="1" applyFill="1" applyAlignment="1"/>
    <xf numFmtId="41" fontId="14" fillId="0" borderId="1" xfId="2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/>
    <xf numFmtId="14" fontId="2" fillId="0" borderId="0" xfId="0" applyNumberFormat="1" applyFont="1" applyAlignment="1">
      <alignment horizontal="right"/>
    </xf>
    <xf numFmtId="41" fontId="2" fillId="0" borderId="2" xfId="0" applyNumberFormat="1" applyFont="1" applyBorder="1" applyAlignment="1">
      <alignment horizontal="left" vertical="center"/>
    </xf>
    <xf numFmtId="41" fontId="4" fillId="0" borderId="0" xfId="1" applyNumberFormat="1">
      <alignment vertical="center"/>
    </xf>
    <xf numFmtId="41" fontId="7" fillId="0" borderId="0" xfId="0" applyNumberFormat="1" applyFont="1" applyAlignment="1">
      <alignment horizontal="center" vertical="center"/>
    </xf>
    <xf numFmtId="41" fontId="7" fillId="0" borderId="0" xfId="0" applyNumberFormat="1" applyFont="1">
      <alignment vertical="center"/>
    </xf>
    <xf numFmtId="41" fontId="16" fillId="0" borderId="1" xfId="2" applyNumberFormat="1" applyFont="1" applyFill="1" applyBorder="1" applyAlignment="1">
      <alignment horizontal="center" vertical="center"/>
    </xf>
    <xf numFmtId="17" fontId="0" fillId="0" borderId="0" xfId="0" applyNumberFormat="1" applyFill="1">
      <alignment vertical="center"/>
    </xf>
    <xf numFmtId="41" fontId="3" fillId="0" borderId="0" xfId="0" applyNumberFormat="1" applyFont="1" applyFill="1">
      <alignment vertical="center"/>
    </xf>
    <xf numFmtId="41" fontId="2" fillId="0" borderId="0" xfId="0" applyNumberFormat="1" applyFont="1" applyFill="1" applyBorder="1" applyAlignment="1">
      <alignment horizontal="right"/>
    </xf>
    <xf numFmtId="41" fontId="2" fillId="0" borderId="0" xfId="0" applyNumberFormat="1" applyFont="1" applyAlignment="1">
      <alignment horizontal="right"/>
    </xf>
    <xf numFmtId="41" fontId="11" fillId="0" borderId="4" xfId="2" applyNumberFormat="1" applyFont="1" applyFill="1" applyBorder="1" applyAlignment="1">
      <alignment vertical="center"/>
    </xf>
    <xf numFmtId="41" fontId="11" fillId="2" borderId="1" xfId="2" applyNumberFormat="1" applyFont="1" applyFill="1" applyBorder="1" applyAlignment="1">
      <alignment horizontal="center" vertical="center"/>
    </xf>
    <xf numFmtId="41" fontId="16" fillId="2" borderId="1" xfId="2" applyNumberFormat="1" applyFont="1" applyFill="1" applyBorder="1" applyAlignment="1">
      <alignment horizontal="center" vertical="center"/>
    </xf>
    <xf numFmtId="41" fontId="11" fillId="0" borderId="0" xfId="2" applyNumberFormat="1" applyFont="1" applyFill="1"/>
    <xf numFmtId="0" fontId="3" fillId="0" borderId="0" xfId="0" applyFont="1" applyFill="1" applyAlignment="1">
      <alignment horizontal="left" vertical="center"/>
    </xf>
    <xf numFmtId="3" fontId="2" fillId="0" borderId="0" xfId="0" applyNumberFormat="1" applyFont="1" applyFill="1" applyAlignment="1">
      <alignment horizontal="left"/>
    </xf>
    <xf numFmtId="0" fontId="0" fillId="0" borderId="0" xfId="0" applyFill="1" applyAlignment="1">
      <alignment horizontal="left" vertical="center"/>
    </xf>
    <xf numFmtId="179" fontId="13" fillId="0" borderId="10" xfId="2" applyNumberFormat="1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0" fontId="19" fillId="0" borderId="0" xfId="2" applyFont="1" applyAlignment="1">
      <alignment horizontal="center" vertical="center"/>
    </xf>
    <xf numFmtId="41" fontId="21" fillId="0" borderId="0" xfId="3" applyFont="1" applyFill="1" applyAlignment="1">
      <alignment horizontal="center" vertical="center"/>
    </xf>
    <xf numFmtId="41" fontId="22" fillId="0" borderId="0" xfId="3" applyFont="1" applyFill="1" applyAlignment="1">
      <alignment vertical="center"/>
    </xf>
    <xf numFmtId="0" fontId="21" fillId="0" borderId="0" xfId="2" applyFont="1" applyAlignment="1">
      <alignment vertical="center"/>
    </xf>
    <xf numFmtId="0" fontId="24" fillId="0" borderId="0" xfId="2" applyFont="1" applyAlignment="1">
      <alignment vertical="center"/>
    </xf>
    <xf numFmtId="0" fontId="24" fillId="0" borderId="0" xfId="2" applyFont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11" fillId="0" borderId="0" xfId="2" applyFont="1" applyAlignment="1">
      <alignment horizontal="left" vertical="center"/>
    </xf>
    <xf numFmtId="183" fontId="15" fillId="0" borderId="0" xfId="3" applyNumberFormat="1" applyFont="1" applyFill="1" applyAlignment="1">
      <alignment horizontal="left" vertical="center"/>
    </xf>
    <xf numFmtId="41" fontId="25" fillId="0" borderId="0" xfId="3" applyFont="1" applyFill="1" applyAlignment="1">
      <alignment horizontal="center" vertical="center"/>
    </xf>
    <xf numFmtId="41" fontId="21" fillId="0" borderId="1" xfId="3" applyFont="1" applyFill="1" applyBorder="1" applyAlignment="1">
      <alignment horizontal="center" vertical="center"/>
    </xf>
    <xf numFmtId="176" fontId="19" fillId="0" borderId="1" xfId="2" applyNumberFormat="1" applyFont="1" applyBorder="1" applyAlignment="1">
      <alignment horizontal="center" vertical="center"/>
    </xf>
    <xf numFmtId="184" fontId="26" fillId="0" borderId="12" xfId="3" applyNumberFormat="1" applyFont="1" applyBorder="1" applyAlignment="1">
      <alignment horizontal="right" vertical="center"/>
    </xf>
    <xf numFmtId="178" fontId="22" fillId="0" borderId="38" xfId="3" applyNumberFormat="1" applyFont="1" applyBorder="1" applyAlignment="1">
      <alignment vertical="center"/>
    </xf>
    <xf numFmtId="184" fontId="26" fillId="0" borderId="14" xfId="3" applyNumberFormat="1" applyFont="1" applyBorder="1" applyAlignment="1">
      <alignment horizontal="right" vertical="center"/>
    </xf>
    <xf numFmtId="178" fontId="22" fillId="0" borderId="40" xfId="3" applyNumberFormat="1" applyFont="1" applyBorder="1" applyAlignment="1">
      <alignment vertical="center"/>
    </xf>
    <xf numFmtId="184" fontId="26" fillId="0" borderId="14" xfId="3" applyNumberFormat="1" applyFont="1" applyFill="1" applyBorder="1" applyAlignment="1">
      <alignment horizontal="right" vertical="center"/>
    </xf>
    <xf numFmtId="0" fontId="19" fillId="0" borderId="5" xfId="2" applyFont="1" applyBorder="1" applyAlignment="1">
      <alignment horizontal="center" vertical="center"/>
    </xf>
    <xf numFmtId="0" fontId="19" fillId="0" borderId="5" xfId="2" applyFont="1" applyBorder="1" applyAlignment="1">
      <alignment horizontal="center" vertical="center" wrapText="1"/>
    </xf>
    <xf numFmtId="184" fontId="26" fillId="0" borderId="20" xfId="3" applyNumberFormat="1" applyFont="1" applyBorder="1" applyAlignment="1">
      <alignment horizontal="right" vertical="center"/>
    </xf>
    <xf numFmtId="0" fontId="26" fillId="0" borderId="0" xfId="2" applyFont="1" applyAlignment="1">
      <alignment vertical="center"/>
    </xf>
    <xf numFmtId="0" fontId="26" fillId="0" borderId="0" xfId="2" applyFont="1" applyAlignment="1">
      <alignment horizontal="center" vertical="center"/>
    </xf>
    <xf numFmtId="41" fontId="26" fillId="0" borderId="0" xfId="3" applyFont="1" applyFill="1" applyBorder="1" applyAlignment="1">
      <alignment horizontal="center" vertical="center"/>
    </xf>
    <xf numFmtId="41" fontId="22" fillId="0" borderId="0" xfId="3" applyFont="1" applyFill="1" applyBorder="1" applyAlignment="1">
      <alignment horizontal="center" vertical="center"/>
    </xf>
    <xf numFmtId="178" fontId="27" fillId="0" borderId="0" xfId="3" applyNumberFormat="1" applyFont="1" applyFill="1" applyAlignment="1">
      <alignment vertical="center"/>
    </xf>
    <xf numFmtId="41" fontId="21" fillId="0" borderId="0" xfId="3" applyFont="1" applyFill="1" applyBorder="1" applyAlignment="1">
      <alignment horizontal="center" vertical="center"/>
    </xf>
    <xf numFmtId="41" fontId="21" fillId="0" borderId="0" xfId="3" applyFont="1" applyAlignment="1">
      <alignment horizontal="center" vertical="center"/>
    </xf>
    <xf numFmtId="41" fontId="22" fillId="0" borderId="0" xfId="3" applyFont="1" applyAlignment="1">
      <alignment vertical="center"/>
    </xf>
    <xf numFmtId="182" fontId="15" fillId="0" borderId="0" xfId="3" applyNumberFormat="1" applyFont="1" applyFill="1" applyAlignment="1">
      <alignment horizontal="center" vertical="center"/>
    </xf>
    <xf numFmtId="184" fontId="26" fillId="5" borderId="35" xfId="3" applyNumberFormat="1" applyFont="1" applyFill="1" applyBorder="1" applyAlignment="1">
      <alignment horizontal="right" vertical="center"/>
    </xf>
    <xf numFmtId="41" fontId="21" fillId="6" borderId="34" xfId="3" applyFont="1" applyFill="1" applyBorder="1" applyAlignment="1">
      <alignment horizontal="center" vertical="center"/>
    </xf>
    <xf numFmtId="41" fontId="19" fillId="6" borderId="34" xfId="3" applyFont="1" applyFill="1" applyBorder="1" applyAlignment="1">
      <alignment horizontal="center" vertical="center"/>
    </xf>
    <xf numFmtId="41" fontId="19" fillId="6" borderId="1" xfId="3" applyFont="1" applyFill="1" applyBorder="1" applyAlignment="1">
      <alignment horizontal="center" vertical="center"/>
    </xf>
    <xf numFmtId="0" fontId="21" fillId="6" borderId="1" xfId="3" applyNumberFormat="1" applyFont="1" applyFill="1" applyBorder="1" applyAlignment="1">
      <alignment horizontal="center" vertical="center"/>
    </xf>
    <xf numFmtId="41" fontId="22" fillId="0" borderId="0" xfId="3" applyNumberFormat="1" applyFont="1" applyFill="1" applyAlignment="1">
      <alignment vertical="center"/>
    </xf>
    <xf numFmtId="41" fontId="21" fillId="0" borderId="1" xfId="3" applyNumberFormat="1" applyFont="1" applyFill="1" applyBorder="1" applyAlignment="1">
      <alignment horizontal="center" vertical="center"/>
    </xf>
    <xf numFmtId="41" fontId="22" fillId="0" borderId="12" xfId="3" applyNumberFormat="1" applyFont="1" applyBorder="1" applyAlignment="1">
      <alignment vertical="center"/>
    </xf>
    <xf numFmtId="41" fontId="27" fillId="0" borderId="0" xfId="3" applyNumberFormat="1" applyFont="1" applyFill="1" applyAlignment="1">
      <alignment vertical="center"/>
    </xf>
    <xf numFmtId="41" fontId="22" fillId="0" borderId="0" xfId="3" applyNumberFormat="1" applyFont="1" applyAlignment="1">
      <alignment vertical="center"/>
    </xf>
    <xf numFmtId="0" fontId="14" fillId="0" borderId="5" xfId="2" applyFont="1" applyFill="1" applyBorder="1" applyAlignment="1">
      <alignment vertical="center"/>
    </xf>
    <xf numFmtId="0" fontId="11" fillId="0" borderId="1" xfId="2" applyFont="1" applyFill="1" applyBorder="1" applyAlignment="1">
      <alignment horizontal="center" vertical="center"/>
    </xf>
    <xf numFmtId="0" fontId="11" fillId="0" borderId="1" xfId="2" applyFont="1" applyFill="1" applyBorder="1" applyAlignment="1">
      <alignment horizontal="center" vertical="center" wrapText="1"/>
    </xf>
    <xf numFmtId="49" fontId="29" fillId="0" borderId="0" xfId="0" applyNumberFormat="1" applyFont="1">
      <alignment vertical="center"/>
    </xf>
    <xf numFmtId="0" fontId="29" fillId="0" borderId="0" xfId="0" applyFont="1">
      <alignment vertical="center"/>
    </xf>
    <xf numFmtId="41" fontId="29" fillId="0" borderId="0" xfId="0" applyNumberFormat="1" applyFont="1">
      <alignment vertical="center"/>
    </xf>
    <xf numFmtId="0" fontId="30" fillId="0" borderId="0" xfId="0" applyFont="1" applyFill="1">
      <alignment vertical="center"/>
    </xf>
    <xf numFmtId="0" fontId="11" fillId="0" borderId="45" xfId="2" applyFont="1" applyFill="1" applyBorder="1" applyAlignment="1">
      <alignment horizontal="center" vertical="center"/>
    </xf>
    <xf numFmtId="176" fontId="11" fillId="0" borderId="53" xfId="2" applyNumberFormat="1" applyFont="1" applyFill="1" applyBorder="1" applyAlignment="1">
      <alignment horizontal="center" vertical="center"/>
    </xf>
    <xf numFmtId="177" fontId="11" fillId="0" borderId="53" xfId="2" applyNumberFormat="1" applyFont="1" applyFill="1" applyBorder="1" applyAlignment="1">
      <alignment horizontal="center" vertical="center"/>
    </xf>
    <xf numFmtId="41" fontId="11" fillId="0" borderId="53" xfId="2" applyNumberFormat="1" applyFont="1" applyFill="1" applyBorder="1" applyAlignment="1">
      <alignment horizontal="center" vertical="center"/>
    </xf>
    <xf numFmtId="41" fontId="11" fillId="0" borderId="54" xfId="2" applyNumberFormat="1" applyFont="1" applyFill="1" applyBorder="1" applyAlignment="1">
      <alignment vertical="center"/>
    </xf>
    <xf numFmtId="176" fontId="11" fillId="0" borderId="56" xfId="2" applyNumberFormat="1" applyFont="1" applyFill="1" applyBorder="1" applyAlignment="1">
      <alignment horizontal="center" vertical="center"/>
    </xf>
    <xf numFmtId="177" fontId="11" fillId="0" borderId="56" xfId="2" applyNumberFormat="1" applyFont="1" applyFill="1" applyBorder="1" applyAlignment="1">
      <alignment horizontal="center" vertical="center"/>
    </xf>
    <xf numFmtId="41" fontId="11" fillId="0" borderId="56" xfId="2" applyNumberFormat="1" applyFont="1" applyFill="1" applyBorder="1" applyAlignment="1">
      <alignment horizontal="center" vertical="center"/>
    </xf>
    <xf numFmtId="41" fontId="11" fillId="0" borderId="57" xfId="2" applyNumberFormat="1" applyFont="1" applyFill="1" applyBorder="1" applyAlignment="1">
      <alignment vertical="center"/>
    </xf>
    <xf numFmtId="0" fontId="11" fillId="0" borderId="55" xfId="2" applyFont="1" applyFill="1" applyBorder="1" applyAlignment="1">
      <alignment horizontal="center" vertical="center" wrapText="1"/>
    </xf>
    <xf numFmtId="0" fontId="11" fillId="0" borderId="56" xfId="2" applyFont="1" applyFill="1" applyBorder="1" applyAlignment="1">
      <alignment horizontal="center" vertical="center"/>
    </xf>
    <xf numFmtId="185" fontId="11" fillId="0" borderId="56" xfId="2" applyNumberFormat="1" applyFont="1" applyFill="1" applyBorder="1" applyAlignment="1">
      <alignment horizontal="center" vertical="center"/>
    </xf>
    <xf numFmtId="0" fontId="11" fillId="0" borderId="55" xfId="2" applyFont="1" applyFill="1" applyBorder="1" applyAlignment="1">
      <alignment horizontal="center" vertical="center"/>
    </xf>
    <xf numFmtId="0" fontId="11" fillId="0" borderId="58" xfId="2" applyFont="1" applyFill="1" applyBorder="1" applyAlignment="1">
      <alignment horizontal="center" vertical="center" wrapText="1"/>
    </xf>
    <xf numFmtId="176" fontId="11" fillId="0" borderId="59" xfId="2" applyNumberFormat="1" applyFont="1" applyFill="1" applyBorder="1" applyAlignment="1">
      <alignment horizontal="center" vertical="center"/>
    </xf>
    <xf numFmtId="177" fontId="11" fillId="0" borderId="59" xfId="2" applyNumberFormat="1" applyFont="1" applyFill="1" applyBorder="1" applyAlignment="1">
      <alignment horizontal="center" vertical="center"/>
    </xf>
    <xf numFmtId="41" fontId="11" fillId="0" borderId="59" xfId="2" applyNumberFormat="1" applyFont="1" applyFill="1" applyBorder="1" applyAlignment="1">
      <alignment horizontal="center" vertical="center"/>
    </xf>
    <xf numFmtId="41" fontId="11" fillId="0" borderId="60" xfId="2" applyNumberFormat="1" applyFont="1" applyFill="1" applyBorder="1" applyAlignment="1">
      <alignment vertical="center"/>
    </xf>
    <xf numFmtId="41" fontId="11" fillId="0" borderId="0" xfId="2" applyNumberFormat="1" applyFont="1" applyFill="1" applyAlignment="1">
      <alignment horizontal="center" vertical="center"/>
    </xf>
    <xf numFmtId="184" fontId="26" fillId="0" borderId="47" xfId="3" applyNumberFormat="1" applyFont="1" applyBorder="1" applyAlignment="1">
      <alignment horizontal="right" vertical="center"/>
    </xf>
    <xf numFmtId="184" fontId="26" fillId="0" borderId="49" xfId="3" applyNumberFormat="1" applyFont="1" applyBorder="1" applyAlignment="1">
      <alignment horizontal="right" vertical="center"/>
    </xf>
    <xf numFmtId="184" fontId="26" fillId="0" borderId="49" xfId="3" applyNumberFormat="1" applyFont="1" applyFill="1" applyBorder="1" applyAlignment="1">
      <alignment horizontal="right" vertical="center"/>
    </xf>
    <xf numFmtId="184" fontId="26" fillId="0" borderId="48" xfId="3" applyNumberFormat="1" applyFont="1" applyBorder="1" applyAlignment="1">
      <alignment horizontal="right" vertical="center"/>
    </xf>
    <xf numFmtId="41" fontId="22" fillId="0" borderId="14" xfId="3" applyNumberFormat="1" applyFont="1" applyBorder="1" applyAlignment="1">
      <alignment vertical="center"/>
    </xf>
    <xf numFmtId="41" fontId="22" fillId="0" borderId="20" xfId="3" applyNumberFormat="1" applyFont="1" applyBorder="1" applyAlignment="1">
      <alignment vertical="center"/>
    </xf>
    <xf numFmtId="41" fontId="28" fillId="0" borderId="0" xfId="0" applyNumberFormat="1" applyFont="1" applyFill="1" applyBorder="1">
      <alignment vertical="center"/>
    </xf>
    <xf numFmtId="0" fontId="19" fillId="0" borderId="34" xfId="2" applyFont="1" applyBorder="1" applyAlignment="1">
      <alignment vertical="center" wrapText="1"/>
    </xf>
    <xf numFmtId="0" fontId="19" fillId="0" borderId="37" xfId="2" applyFont="1" applyBorder="1" applyAlignment="1">
      <alignment vertical="center" wrapText="1"/>
    </xf>
    <xf numFmtId="41" fontId="26" fillId="0" borderId="14" xfId="3" applyFont="1" applyBorder="1" applyAlignment="1">
      <alignment horizontal="center" vertical="center"/>
    </xf>
    <xf numFmtId="41" fontId="26" fillId="0" borderId="49" xfId="3" applyFont="1" applyBorder="1" applyAlignment="1">
      <alignment horizontal="right" vertical="center"/>
    </xf>
    <xf numFmtId="41" fontId="11" fillId="3" borderId="1" xfId="3" applyNumberFormat="1" applyFont="1" applyFill="1" applyBorder="1" applyAlignment="1">
      <alignment horizontal="center" vertical="center"/>
    </xf>
    <xf numFmtId="178" fontId="11" fillId="3" borderId="11" xfId="2" applyNumberFormat="1" applyFont="1" applyFill="1" applyBorder="1" applyAlignment="1">
      <alignment horizontal="center" vertical="center"/>
    </xf>
    <xf numFmtId="41" fontId="11" fillId="3" borderId="1" xfId="2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/>
    </xf>
    <xf numFmtId="0" fontId="0" fillId="0" borderId="33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11" fillId="0" borderId="1" xfId="2" applyFont="1" applyFill="1" applyBorder="1" applyAlignment="1">
      <alignment horizontal="center" vertical="center"/>
    </xf>
    <xf numFmtId="0" fontId="11" fillId="0" borderId="34" xfId="2" applyFont="1" applyFill="1" applyBorder="1" applyAlignment="1">
      <alignment horizontal="center" vertical="center" wrapText="1"/>
    </xf>
    <xf numFmtId="0" fontId="11" fillId="0" borderId="39" xfId="2" applyFont="1" applyFill="1" applyBorder="1" applyAlignment="1">
      <alignment horizontal="center" vertical="center" wrapText="1"/>
    </xf>
    <xf numFmtId="0" fontId="11" fillId="0" borderId="37" xfId="2" applyFont="1" applyFill="1" applyBorder="1" applyAlignment="1">
      <alignment horizontal="center" vertical="center" wrapText="1"/>
    </xf>
    <xf numFmtId="0" fontId="11" fillId="0" borderId="34" xfId="2" applyFont="1" applyFill="1" applyBorder="1" applyAlignment="1">
      <alignment horizontal="center" vertical="center"/>
    </xf>
    <xf numFmtId="0" fontId="11" fillId="0" borderId="37" xfId="2" applyFont="1" applyFill="1" applyBorder="1" applyAlignment="1">
      <alignment horizontal="center" vertical="center"/>
    </xf>
    <xf numFmtId="0" fontId="11" fillId="0" borderId="19" xfId="2" applyFont="1" applyFill="1" applyBorder="1" applyAlignment="1">
      <alignment horizontal="center" vertical="center"/>
    </xf>
    <xf numFmtId="0" fontId="11" fillId="0" borderId="14" xfId="2" applyFont="1" applyFill="1" applyBorder="1" applyAlignment="1">
      <alignment horizontal="center" vertical="center"/>
    </xf>
    <xf numFmtId="0" fontId="11" fillId="0" borderId="15" xfId="2" applyFont="1" applyFill="1" applyBorder="1" applyAlignment="1">
      <alignment horizontal="center" vertical="center"/>
    </xf>
    <xf numFmtId="0" fontId="11" fillId="0" borderId="24" xfId="2" applyFont="1" applyFill="1" applyBorder="1" applyAlignment="1">
      <alignment horizontal="center" vertical="center"/>
    </xf>
    <xf numFmtId="0" fontId="11" fillId="0" borderId="26" xfId="2" applyFont="1" applyFill="1" applyBorder="1" applyAlignment="1">
      <alignment horizontal="center" vertical="center"/>
    </xf>
    <xf numFmtId="0" fontId="11" fillId="0" borderId="27" xfId="2" applyFont="1" applyFill="1" applyBorder="1" applyAlignment="1">
      <alignment horizontal="center" vertical="center"/>
    </xf>
    <xf numFmtId="0" fontId="11" fillId="3" borderId="50" xfId="2" applyFont="1" applyFill="1" applyBorder="1" applyAlignment="1">
      <alignment horizontal="center" vertical="center"/>
    </xf>
    <xf numFmtId="0" fontId="11" fillId="3" borderId="51" xfId="2" applyFont="1" applyFill="1" applyBorder="1" applyAlignment="1">
      <alignment horizontal="center" vertical="center"/>
    </xf>
    <xf numFmtId="0" fontId="11" fillId="3" borderId="64" xfId="2" applyFont="1" applyFill="1" applyBorder="1" applyAlignment="1">
      <alignment horizontal="center" vertical="center"/>
    </xf>
    <xf numFmtId="0" fontId="11" fillId="0" borderId="52" xfId="2" applyFont="1" applyFill="1" applyBorder="1" applyAlignment="1">
      <alignment horizontal="center" vertical="center"/>
    </xf>
    <xf numFmtId="0" fontId="11" fillId="0" borderId="55" xfId="2" applyFont="1" applyFill="1" applyBorder="1" applyAlignment="1">
      <alignment horizontal="center" vertical="center"/>
    </xf>
    <xf numFmtId="0" fontId="17" fillId="0" borderId="6" xfId="2" applyFont="1" applyFill="1" applyBorder="1" applyAlignment="1">
      <alignment horizontal="center" vertical="center"/>
    </xf>
    <xf numFmtId="0" fontId="17" fillId="0" borderId="7" xfId="2" applyFont="1" applyFill="1" applyBorder="1" applyAlignment="1">
      <alignment horizontal="center" vertical="center"/>
    </xf>
    <xf numFmtId="0" fontId="17" fillId="0" borderId="8" xfId="2" applyFont="1" applyFill="1" applyBorder="1" applyAlignment="1">
      <alignment horizontal="center" vertical="center"/>
    </xf>
    <xf numFmtId="0" fontId="11" fillId="0" borderId="45" xfId="2" applyFont="1" applyFill="1" applyBorder="1" applyAlignment="1">
      <alignment horizontal="center" vertical="center"/>
    </xf>
    <xf numFmtId="0" fontId="11" fillId="0" borderId="46" xfId="2" applyFont="1" applyFill="1" applyBorder="1" applyAlignment="1">
      <alignment horizontal="center" vertical="center" wrapText="1"/>
    </xf>
    <xf numFmtId="0" fontId="11" fillId="0" borderId="46" xfId="2" applyFont="1" applyFill="1" applyBorder="1" applyAlignment="1">
      <alignment horizontal="center" vertical="center"/>
    </xf>
    <xf numFmtId="0" fontId="11" fillId="0" borderId="61" xfId="2" applyFont="1" applyFill="1" applyBorder="1" applyAlignment="1">
      <alignment horizontal="center" vertical="center" wrapText="1"/>
    </xf>
    <xf numFmtId="0" fontId="11" fillId="0" borderId="62" xfId="2" applyFont="1" applyFill="1" applyBorder="1" applyAlignment="1">
      <alignment horizontal="center" vertical="center" wrapText="1"/>
    </xf>
    <xf numFmtId="0" fontId="11" fillId="0" borderId="63" xfId="2" applyFont="1" applyFill="1" applyBorder="1" applyAlignment="1">
      <alignment horizontal="center" vertical="center" wrapText="1"/>
    </xf>
    <xf numFmtId="0" fontId="11" fillId="0" borderId="61" xfId="2" applyFont="1" applyFill="1" applyBorder="1" applyAlignment="1">
      <alignment horizontal="center" vertical="center"/>
    </xf>
    <xf numFmtId="0" fontId="11" fillId="0" borderId="63" xfId="2" applyFont="1" applyFill="1" applyBorder="1" applyAlignment="1">
      <alignment horizontal="center" vertical="center"/>
    </xf>
    <xf numFmtId="0" fontId="11" fillId="0" borderId="21" xfId="2" applyFont="1" applyFill="1" applyBorder="1" applyAlignment="1">
      <alignment horizontal="center" vertical="center"/>
    </xf>
    <xf numFmtId="0" fontId="11" fillId="0" borderId="13" xfId="2" applyFont="1" applyFill="1" applyBorder="1" applyAlignment="1">
      <alignment horizontal="center" vertical="center"/>
    </xf>
    <xf numFmtId="0" fontId="11" fillId="0" borderId="23" xfId="2" applyFont="1" applyFill="1" applyBorder="1" applyAlignment="1">
      <alignment horizontal="center" vertical="center"/>
    </xf>
    <xf numFmtId="0" fontId="11" fillId="0" borderId="25" xfId="2" applyFont="1" applyFill="1" applyBorder="1" applyAlignment="1">
      <alignment horizontal="center" vertical="center"/>
    </xf>
    <xf numFmtId="0" fontId="23" fillId="0" borderId="0" xfId="2" applyFont="1" applyAlignment="1">
      <alignment horizontal="right" vertical="center"/>
    </xf>
    <xf numFmtId="0" fontId="21" fillId="6" borderId="31" xfId="2" applyFont="1" applyFill="1" applyBorder="1" applyAlignment="1">
      <alignment horizontal="center" vertical="center"/>
    </xf>
    <xf numFmtId="0" fontId="21" fillId="6" borderId="32" xfId="2" applyFont="1" applyFill="1" applyBorder="1" applyAlignment="1">
      <alignment horizontal="center" vertical="center"/>
    </xf>
    <xf numFmtId="0" fontId="21" fillId="6" borderId="33" xfId="2" applyFont="1" applyFill="1" applyBorder="1" applyAlignment="1">
      <alignment horizontal="center" vertical="center"/>
    </xf>
    <xf numFmtId="0" fontId="19" fillId="3" borderId="17" xfId="2" applyFont="1" applyFill="1" applyBorder="1" applyAlignment="1">
      <alignment horizontal="center" vertical="center"/>
    </xf>
    <xf numFmtId="0" fontId="19" fillId="3" borderId="42" xfId="2" applyFont="1" applyFill="1" applyBorder="1" applyAlignment="1">
      <alignment horizontal="center" vertical="center"/>
    </xf>
    <xf numFmtId="0" fontId="19" fillId="3" borderId="18" xfId="2" applyFont="1" applyFill="1" applyBorder="1" applyAlignment="1">
      <alignment horizontal="center" vertical="center"/>
    </xf>
    <xf numFmtId="0" fontId="21" fillId="0" borderId="1" xfId="2" applyFont="1" applyBorder="1" applyAlignment="1">
      <alignment horizontal="center" vertical="center" wrapText="1"/>
    </xf>
    <xf numFmtId="0" fontId="21" fillId="0" borderId="1" xfId="2" applyFont="1" applyBorder="1" applyAlignment="1">
      <alignment horizontal="center" vertical="center"/>
    </xf>
    <xf numFmtId="0" fontId="19" fillId="0" borderId="34" xfId="2" applyFont="1" applyBorder="1" applyAlignment="1">
      <alignment horizontal="center" vertical="center" wrapText="1"/>
    </xf>
    <xf numFmtId="0" fontId="19" fillId="0" borderId="39" xfId="2" applyFont="1" applyBorder="1" applyAlignment="1">
      <alignment horizontal="center" vertical="center" wrapText="1"/>
    </xf>
    <xf numFmtId="0" fontId="19" fillId="0" borderId="37" xfId="2" applyFont="1" applyBorder="1" applyAlignment="1">
      <alignment horizontal="center" vertical="center" wrapText="1"/>
    </xf>
    <xf numFmtId="0" fontId="19" fillId="0" borderId="34" xfId="2" applyFont="1" applyBorder="1" applyAlignment="1">
      <alignment horizontal="center" vertical="center"/>
    </xf>
    <xf numFmtId="0" fontId="19" fillId="0" borderId="37" xfId="2" applyFont="1" applyBorder="1" applyAlignment="1">
      <alignment horizontal="center" vertical="center"/>
    </xf>
    <xf numFmtId="0" fontId="26" fillId="5" borderId="4" xfId="2" applyFont="1" applyFill="1" applyBorder="1" applyAlignment="1">
      <alignment horizontal="center" vertical="center"/>
    </xf>
    <xf numFmtId="0" fontId="26" fillId="5" borderId="5" xfId="2" applyFont="1" applyFill="1" applyBorder="1" applyAlignment="1">
      <alignment horizontal="center" vertical="center"/>
    </xf>
    <xf numFmtId="0" fontId="19" fillId="0" borderId="17" xfId="2" applyFont="1" applyBorder="1" applyAlignment="1">
      <alignment horizontal="center" vertical="center"/>
    </xf>
    <xf numFmtId="0" fontId="19" fillId="0" borderId="42" xfId="2" applyFont="1" applyBorder="1" applyAlignment="1">
      <alignment horizontal="center" vertical="center"/>
    </xf>
    <xf numFmtId="0" fontId="19" fillId="0" borderId="18" xfId="2" applyFont="1" applyBorder="1" applyAlignment="1">
      <alignment horizontal="center" vertical="center"/>
    </xf>
    <xf numFmtId="0" fontId="19" fillId="0" borderId="39" xfId="2" applyFont="1" applyBorder="1" applyAlignment="1">
      <alignment horizontal="center" vertical="center"/>
    </xf>
  </cellXfs>
  <cellStyles count="8">
    <cellStyle name="Header1" xfId="4" xr:uid="{00000000-0005-0000-0000-000000000000}"/>
    <cellStyle name="Header2" xfId="5" xr:uid="{00000000-0005-0000-0000-000001000000}"/>
    <cellStyle name="쉼표 [0] 2" xfId="3" xr:uid="{00000000-0005-0000-0000-000002000000}"/>
    <cellStyle name="콤마 [0]_미지급금" xfId="6" xr:uid="{00000000-0005-0000-0000-000003000000}"/>
    <cellStyle name="콤마_laroux" xfId="7" xr:uid="{00000000-0005-0000-0000-000004000000}"/>
    <cellStyle name="표준" xfId="0" builtinId="0"/>
    <cellStyle name="표준 2" xfId="1" xr:uid="{00000000-0005-0000-0000-000006000000}"/>
    <cellStyle name="표준 3" xfId="2" xr:uid="{00000000-0005-0000-0000-000007000000}"/>
  </cellStyles>
  <dxfs count="0"/>
  <tableStyles count="0" defaultTableStyle="TableStyleMedium2" defaultPivotStyle="PivotStyleLight16"/>
  <colors>
    <mruColors>
      <color rgb="FFD9D9D9"/>
      <color rgb="FFB5D86E"/>
      <color rgb="FFABD35B"/>
      <color rgb="FF96C835"/>
      <color rgb="FFA2DB57"/>
      <color rgb="FF63CF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2" fmlaLink="$F$3" max="12" min="1" page="10" val="5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6</xdr:row>
      <xdr:rowOff>0</xdr:rowOff>
    </xdr:from>
    <xdr:to>
      <xdr:col>11</xdr:col>
      <xdr:colOff>504825</xdr:colOff>
      <xdr:row>9</xdr:row>
      <xdr:rowOff>38100</xdr:rowOff>
    </xdr:to>
    <xdr:sp macro="[0]!WriteDaesang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96175" y="1257300"/>
          <a:ext cx="1076325" cy="66675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발주 현황에 기록</a:t>
          </a:r>
        </a:p>
      </xdr:txBody>
    </xdr:sp>
    <xdr:clientData/>
  </xdr:twoCellAnchor>
  <xdr:twoCellAnchor>
    <xdr:from>
      <xdr:col>10</xdr:col>
      <xdr:colOff>142875</xdr:colOff>
      <xdr:row>14</xdr:row>
      <xdr:rowOff>9525</xdr:rowOff>
    </xdr:from>
    <xdr:to>
      <xdr:col>11</xdr:col>
      <xdr:colOff>504825</xdr:colOff>
      <xdr:row>16</xdr:row>
      <xdr:rowOff>47625</xdr:rowOff>
    </xdr:to>
    <xdr:sp macro="[0]!sheet2pdf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496175" y="2943225"/>
          <a:ext cx="1076325" cy="666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발주서</a:t>
          </a:r>
          <a:r>
            <a:rPr lang="en-US" altLang="ko-KR" sz="1000"/>
            <a:t>, </a:t>
          </a:r>
          <a:r>
            <a:rPr lang="ko-KR" altLang="en-US" sz="1000"/>
            <a:t>확인서 </a:t>
          </a:r>
          <a:r>
            <a:rPr lang="en-US" altLang="ko-KR" sz="1000"/>
            <a:t>pdf </a:t>
          </a:r>
          <a:r>
            <a:rPr lang="ko-KR" altLang="en-US" sz="1000"/>
            <a:t>저장</a:t>
          </a:r>
          <a:endParaRPr lang="en-US" altLang="ko-KR" sz="1000"/>
        </a:p>
      </xdr:txBody>
    </xdr:sp>
    <xdr:clientData/>
  </xdr:twoCellAnchor>
  <xdr:twoCellAnchor>
    <xdr:from>
      <xdr:col>10</xdr:col>
      <xdr:colOff>142875</xdr:colOff>
      <xdr:row>10</xdr:row>
      <xdr:rowOff>9525</xdr:rowOff>
    </xdr:from>
    <xdr:to>
      <xdr:col>11</xdr:col>
      <xdr:colOff>504825</xdr:colOff>
      <xdr:row>13</xdr:row>
      <xdr:rowOff>47625</xdr:rowOff>
    </xdr:to>
    <xdr:sp macro="[0]!Ecount" textlink="">
      <xdr:nvSpPr>
        <xdr:cNvPr id="12" name="사각형: 둥근 모서리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496175" y="2105025"/>
          <a:ext cx="1076325" cy="6667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이카운트</a:t>
          </a:r>
          <a:endParaRPr lang="en-US" altLang="ko-KR" sz="1100"/>
        </a:p>
        <a:p>
          <a:pPr algn="ctr"/>
          <a:r>
            <a:rPr lang="ko-KR" altLang="en-US" sz="1100"/>
            <a:t>판매 입력</a:t>
          </a:r>
          <a:endParaRPr lang="en-US" altLang="ko-KR" sz="1100"/>
        </a:p>
      </xdr:txBody>
    </xdr:sp>
    <xdr:clientData/>
  </xdr:twoCellAnchor>
  <xdr:twoCellAnchor>
    <xdr:from>
      <xdr:col>10</xdr:col>
      <xdr:colOff>142875</xdr:colOff>
      <xdr:row>2</xdr:row>
      <xdr:rowOff>9525</xdr:rowOff>
    </xdr:from>
    <xdr:to>
      <xdr:col>11</xdr:col>
      <xdr:colOff>504825</xdr:colOff>
      <xdr:row>5</xdr:row>
      <xdr:rowOff>47625</xdr:rowOff>
    </xdr:to>
    <xdr:sp macro="[0]!OpenFiles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496175" y="428625"/>
          <a:ext cx="1076325" cy="66675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발주 계산</a:t>
          </a:r>
          <a:endParaRPr lang="en-US" altLang="ko-K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7</xdr:row>
      <xdr:rowOff>47625</xdr:rowOff>
    </xdr:from>
    <xdr:to>
      <xdr:col>7</xdr:col>
      <xdr:colOff>419100</xdr:colOff>
      <xdr:row>9</xdr:row>
      <xdr:rowOff>190500</xdr:rowOff>
    </xdr:to>
    <xdr:sp macro="" textlink="">
      <xdr:nvSpPr>
        <xdr:cNvPr id="2" name="화살표: 오른쪽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667500" y="1514475"/>
          <a:ext cx="828675" cy="561975"/>
        </a:xfrm>
        <a:prstGeom prst="rightArrow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213360</xdr:colOff>
      <xdr:row>0</xdr:row>
      <xdr:rowOff>609600</xdr:rowOff>
    </xdr:to>
    <xdr:sp macro="" textlink="">
      <xdr:nvSpPr>
        <xdr:cNvPr id="2" name="Text Box 1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7477125" y="0"/>
          <a:ext cx="21336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464820</xdr:colOff>
      <xdr:row>0</xdr:row>
      <xdr:rowOff>205740</xdr:rowOff>
    </xdr:to>
    <xdr:sp macro="" textlink="">
      <xdr:nvSpPr>
        <xdr:cNvPr id="3" name="Text Box 1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>
          <a:spLocks noChangeArrowheads="1"/>
        </xdr:cNvSpPr>
      </xdr:nvSpPr>
      <xdr:spPr bwMode="auto">
        <a:xfrm>
          <a:off x="7477125" y="0"/>
          <a:ext cx="464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464820</xdr:colOff>
      <xdr:row>0</xdr:row>
      <xdr:rowOff>205740</xdr:rowOff>
    </xdr:to>
    <xdr:sp macro="" textlink="">
      <xdr:nvSpPr>
        <xdr:cNvPr id="4" name="Text Box 15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>
          <a:spLocks noChangeArrowheads="1"/>
        </xdr:cNvSpPr>
      </xdr:nvSpPr>
      <xdr:spPr bwMode="auto">
        <a:xfrm>
          <a:off x="7477125" y="0"/>
          <a:ext cx="464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30480</xdr:colOff>
      <xdr:row>0</xdr:row>
      <xdr:rowOff>0</xdr:rowOff>
    </xdr:from>
    <xdr:to>
      <xdr:col>5</xdr:col>
      <xdr:colOff>495300</xdr:colOff>
      <xdr:row>0</xdr:row>
      <xdr:rowOff>205740</xdr:rowOff>
    </xdr:to>
    <xdr:sp macro="" textlink="">
      <xdr:nvSpPr>
        <xdr:cNvPr id="5" name="Text Box 16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7507605" y="0"/>
          <a:ext cx="464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449580</xdr:colOff>
          <xdr:row>2</xdr:row>
          <xdr:rowOff>45720</xdr:rowOff>
        </xdr:from>
        <xdr:to>
          <xdr:col>5</xdr:col>
          <xdr:colOff>716280</xdr:colOff>
          <xdr:row>2</xdr:row>
          <xdr:rowOff>350520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152400</xdr:colOff>
      <xdr:row>0</xdr:row>
      <xdr:rowOff>9525</xdr:rowOff>
    </xdr:from>
    <xdr:to>
      <xdr:col>3</xdr:col>
      <xdr:colOff>19050</xdr:colOff>
      <xdr:row>2</xdr:row>
      <xdr:rowOff>385431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9525"/>
          <a:ext cx="1704975" cy="89025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7932;&#47448;&#53364;&#46972;&#51060;&#50616;&#53944;\&#49373;&#49328;&#50629;&#47924;&#51068;&#48372;\05&#44148;&#44284;\&#48512;&#51116;&#47308;&#47785;&#4719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분류코드"/>
      <sheetName val="제품"/>
      <sheetName val="필림"/>
      <sheetName val="박스"/>
      <sheetName val="카톤"/>
      <sheetName val="기타"/>
      <sheetName val="OPP"/>
      <sheetName val="코드목록"/>
      <sheetName val="Sheet1"/>
      <sheetName val="Sheet2"/>
      <sheetName val="Sheet3"/>
    </sheetNames>
    <sheetDataSet>
      <sheetData sheetId="0"/>
      <sheetData sheetId="1" refreshError="1">
        <row r="1">
          <cell r="A1" t="str">
            <v>종류</v>
          </cell>
          <cell r="B1" t="str">
            <v>유형</v>
          </cell>
          <cell r="C1" t="str">
            <v>상표</v>
          </cell>
          <cell r="D1" t="str">
            <v>중량</v>
          </cell>
          <cell r="E1" t="str">
            <v>분류코드</v>
          </cell>
          <cell r="F1" t="str">
            <v>제품명</v>
          </cell>
          <cell r="G1" t="str">
            <v>중량(g)</v>
          </cell>
          <cell r="H1" t="str">
            <v>입상수(봉)</v>
          </cell>
          <cell r="I1" t="str">
            <v>제품규격</v>
          </cell>
          <cell r="J1" t="str">
            <v>표시가격</v>
          </cell>
          <cell r="K1" t="str">
            <v>단가(BOX)</v>
          </cell>
          <cell r="L1" t="str">
            <v>단가(봉)</v>
          </cell>
        </row>
        <row r="2">
          <cell r="A2" t="str">
            <v>P</v>
          </cell>
          <cell r="B2" t="str">
            <v>A</v>
          </cell>
          <cell r="C2" t="str">
            <v>A</v>
          </cell>
          <cell r="D2">
            <v>1</v>
          </cell>
          <cell r="E2" t="str">
            <v>PAA1</v>
          </cell>
          <cell r="F2" t="str">
            <v>꼬마짱(110g)</v>
          </cell>
          <cell r="G2">
            <v>110</v>
          </cell>
          <cell r="H2">
            <v>30</v>
          </cell>
          <cell r="I2" t="str">
            <v>110g*30봉</v>
          </cell>
          <cell r="J2">
            <v>500</v>
          </cell>
          <cell r="L2" t="str">
            <v/>
          </cell>
        </row>
        <row r="3">
          <cell r="A3" t="str">
            <v>P</v>
          </cell>
          <cell r="B3" t="str">
            <v>A</v>
          </cell>
          <cell r="C3" t="str">
            <v>A</v>
          </cell>
          <cell r="D3">
            <v>2</v>
          </cell>
          <cell r="E3" t="str">
            <v>PAA2</v>
          </cell>
          <cell r="F3" t="str">
            <v>꼬마짱(110g)-E</v>
          </cell>
          <cell r="G3">
            <v>110</v>
          </cell>
          <cell r="H3">
            <v>30</v>
          </cell>
          <cell r="I3" t="str">
            <v>110g*30봉</v>
          </cell>
          <cell r="J3">
            <v>500</v>
          </cell>
          <cell r="L3" t="str">
            <v/>
          </cell>
        </row>
        <row r="4">
          <cell r="A4" t="str">
            <v>P</v>
          </cell>
          <cell r="B4" t="str">
            <v>A</v>
          </cell>
          <cell r="C4" t="str">
            <v>A</v>
          </cell>
          <cell r="D4">
            <v>3</v>
          </cell>
          <cell r="E4" t="str">
            <v>PAA3</v>
          </cell>
          <cell r="F4" t="str">
            <v>꼬마짱(350g)</v>
          </cell>
          <cell r="G4">
            <v>350</v>
          </cell>
          <cell r="H4">
            <v>16</v>
          </cell>
          <cell r="I4" t="str">
            <v>350g*16봉</v>
          </cell>
          <cell r="J4">
            <v>1500</v>
          </cell>
          <cell r="L4" t="str">
            <v/>
          </cell>
        </row>
        <row r="5">
          <cell r="A5" t="str">
            <v>P</v>
          </cell>
          <cell r="B5" t="str">
            <v>A</v>
          </cell>
          <cell r="C5" t="str">
            <v>A</v>
          </cell>
          <cell r="D5">
            <v>4</v>
          </cell>
          <cell r="E5" t="str">
            <v>PAA4</v>
          </cell>
          <cell r="F5" t="str">
            <v>꼬마짱(380g)-E</v>
          </cell>
          <cell r="G5">
            <v>380</v>
          </cell>
          <cell r="H5">
            <v>16</v>
          </cell>
          <cell r="I5" t="str">
            <v>380g*16봉</v>
          </cell>
          <cell r="J5">
            <v>1500</v>
          </cell>
          <cell r="L5" t="str">
            <v/>
          </cell>
        </row>
        <row r="6">
          <cell r="A6" t="str">
            <v>P</v>
          </cell>
          <cell r="B6" t="str">
            <v>A</v>
          </cell>
          <cell r="C6" t="str">
            <v>K</v>
          </cell>
          <cell r="D6">
            <v>1</v>
          </cell>
          <cell r="E6" t="str">
            <v>PAK1</v>
          </cell>
          <cell r="F6" t="str">
            <v>선진짱이야</v>
          </cell>
          <cell r="G6">
            <v>150</v>
          </cell>
          <cell r="H6">
            <v>20</v>
          </cell>
          <cell r="I6" t="str">
            <v>150g*20봉</v>
          </cell>
          <cell r="J6">
            <v>1000</v>
          </cell>
          <cell r="L6" t="str">
            <v/>
          </cell>
        </row>
        <row r="7">
          <cell r="A7" t="str">
            <v>P</v>
          </cell>
          <cell r="B7" t="str">
            <v>A</v>
          </cell>
          <cell r="C7" t="str">
            <v>G</v>
          </cell>
          <cell r="D7">
            <v>1</v>
          </cell>
          <cell r="E7" t="str">
            <v>PAG1</v>
          </cell>
          <cell r="F7" t="str">
            <v>굿앤칩맛대장</v>
          </cell>
          <cell r="G7">
            <v>125</v>
          </cell>
          <cell r="H7">
            <v>30</v>
          </cell>
          <cell r="I7" t="str">
            <v>125g*30봉</v>
          </cell>
          <cell r="J7" t="str">
            <v>무</v>
          </cell>
          <cell r="L7" t="str">
            <v/>
          </cell>
        </row>
        <row r="8">
          <cell r="A8" t="str">
            <v>P</v>
          </cell>
          <cell r="B8" t="str">
            <v>B</v>
          </cell>
          <cell r="C8" t="str">
            <v>D</v>
          </cell>
          <cell r="D8">
            <v>1</v>
          </cell>
          <cell r="E8" t="str">
            <v>PBD1</v>
          </cell>
          <cell r="F8" t="str">
            <v>해태맛짱(90g)</v>
          </cell>
          <cell r="G8">
            <v>90</v>
          </cell>
          <cell r="H8">
            <v>30</v>
          </cell>
          <cell r="I8" t="str">
            <v>90g*30봉</v>
          </cell>
          <cell r="J8">
            <v>500</v>
          </cell>
          <cell r="L8" t="str">
            <v/>
          </cell>
        </row>
        <row r="9">
          <cell r="A9" t="str">
            <v>P</v>
          </cell>
          <cell r="B9" t="str">
            <v>B</v>
          </cell>
          <cell r="C9" t="str">
            <v>D</v>
          </cell>
          <cell r="D9">
            <v>2</v>
          </cell>
          <cell r="E9" t="str">
            <v>PBD2</v>
          </cell>
          <cell r="F9" t="str">
            <v>해태맛짱(216g)</v>
          </cell>
          <cell r="G9">
            <v>216</v>
          </cell>
          <cell r="H9">
            <v>12</v>
          </cell>
          <cell r="I9" t="str">
            <v>216g*12봉</v>
          </cell>
          <cell r="J9">
            <v>1200</v>
          </cell>
          <cell r="L9" t="str">
            <v/>
          </cell>
        </row>
        <row r="10">
          <cell r="A10" t="str">
            <v>P</v>
          </cell>
          <cell r="B10" t="str">
            <v>C</v>
          </cell>
          <cell r="C10" t="str">
            <v>A</v>
          </cell>
          <cell r="D10">
            <v>1</v>
          </cell>
          <cell r="E10" t="str">
            <v>PCA1</v>
          </cell>
          <cell r="F10" t="str">
            <v>통감자(45g)</v>
          </cell>
          <cell r="G10">
            <v>45</v>
          </cell>
          <cell r="H10">
            <v>30</v>
          </cell>
          <cell r="I10" t="str">
            <v>45g*30봉</v>
          </cell>
          <cell r="J10">
            <v>500</v>
          </cell>
          <cell r="L10" t="str">
            <v/>
          </cell>
        </row>
        <row r="11">
          <cell r="A11" t="str">
            <v>P</v>
          </cell>
          <cell r="B11" t="str">
            <v>C</v>
          </cell>
          <cell r="C11" t="str">
            <v>A</v>
          </cell>
          <cell r="D11">
            <v>2</v>
          </cell>
          <cell r="E11" t="str">
            <v>PCA2</v>
          </cell>
          <cell r="F11" t="str">
            <v>통감자(80g)</v>
          </cell>
          <cell r="G11">
            <v>80</v>
          </cell>
          <cell r="H11">
            <v>20</v>
          </cell>
          <cell r="I11" t="str">
            <v>80g*20봉</v>
          </cell>
          <cell r="J11">
            <v>1200</v>
          </cell>
          <cell r="L11" t="str">
            <v/>
          </cell>
        </row>
        <row r="12">
          <cell r="A12" t="str">
            <v>P</v>
          </cell>
          <cell r="B12" t="str">
            <v>C</v>
          </cell>
          <cell r="C12" t="str">
            <v>A</v>
          </cell>
          <cell r="D12">
            <v>3</v>
          </cell>
          <cell r="E12" t="str">
            <v>PCA3</v>
          </cell>
          <cell r="F12" t="str">
            <v>통감자(135g)</v>
          </cell>
          <cell r="G12">
            <v>135</v>
          </cell>
          <cell r="H12">
            <v>16</v>
          </cell>
          <cell r="I12" t="str">
            <v>135g*16봉</v>
          </cell>
          <cell r="J12">
            <v>1500</v>
          </cell>
          <cell r="L12" t="str">
            <v/>
          </cell>
        </row>
        <row r="13">
          <cell r="A13" t="str">
            <v>P</v>
          </cell>
          <cell r="B13" t="str">
            <v>C</v>
          </cell>
          <cell r="C13" t="str">
            <v>G</v>
          </cell>
          <cell r="D13">
            <v>1</v>
          </cell>
          <cell r="E13" t="str">
            <v>PCG1</v>
          </cell>
          <cell r="F13" t="str">
            <v>굿앤칩통감자</v>
          </cell>
          <cell r="G13">
            <v>40</v>
          </cell>
          <cell r="H13">
            <v>30</v>
          </cell>
          <cell r="I13" t="str">
            <v>40g*30봉</v>
          </cell>
          <cell r="J13" t="str">
            <v>무</v>
          </cell>
          <cell r="L13" t="str">
            <v/>
          </cell>
        </row>
        <row r="14">
          <cell r="A14" t="str">
            <v>P</v>
          </cell>
          <cell r="B14" t="str">
            <v>C</v>
          </cell>
          <cell r="C14" t="str">
            <v>D</v>
          </cell>
          <cell r="D14">
            <v>1</v>
          </cell>
          <cell r="E14" t="str">
            <v>PCD1</v>
          </cell>
          <cell r="F14" t="str">
            <v>해태통큰감자</v>
          </cell>
          <cell r="G14">
            <v>40</v>
          </cell>
          <cell r="H14">
            <v>30</v>
          </cell>
          <cell r="I14" t="str">
            <v>40g*30봉</v>
          </cell>
          <cell r="J14">
            <v>500</v>
          </cell>
          <cell r="L14" t="str">
            <v/>
          </cell>
        </row>
        <row r="15">
          <cell r="A15" t="str">
            <v>P</v>
          </cell>
          <cell r="B15" t="str">
            <v>D</v>
          </cell>
          <cell r="C15" t="str">
            <v>A</v>
          </cell>
          <cell r="D15">
            <v>1</v>
          </cell>
          <cell r="E15" t="str">
            <v>PDA1</v>
          </cell>
          <cell r="F15" t="str">
            <v>왕새우칩</v>
          </cell>
          <cell r="G15">
            <v>105</v>
          </cell>
          <cell r="H15">
            <v>16</v>
          </cell>
          <cell r="I15" t="str">
            <v>105g*16봉</v>
          </cell>
          <cell r="J15" t="str">
            <v>무</v>
          </cell>
          <cell r="L15" t="str">
            <v/>
          </cell>
        </row>
        <row r="16">
          <cell r="A16" t="str">
            <v>P</v>
          </cell>
          <cell r="B16" t="str">
            <v>E</v>
          </cell>
          <cell r="C16" t="str">
            <v>A</v>
          </cell>
          <cell r="D16">
            <v>1</v>
          </cell>
          <cell r="E16" t="str">
            <v>PEA1</v>
          </cell>
          <cell r="F16" t="str">
            <v>콩소미(90g)</v>
          </cell>
          <cell r="G16">
            <v>90</v>
          </cell>
          <cell r="H16">
            <v>40</v>
          </cell>
          <cell r="I16" t="str">
            <v>90g*40봉</v>
          </cell>
          <cell r="J16">
            <v>600</v>
          </cell>
          <cell r="L16" t="str">
            <v/>
          </cell>
        </row>
        <row r="17">
          <cell r="A17" t="str">
            <v>P</v>
          </cell>
          <cell r="B17" t="str">
            <v>E</v>
          </cell>
          <cell r="C17" t="str">
            <v>A</v>
          </cell>
          <cell r="D17">
            <v>2</v>
          </cell>
          <cell r="E17" t="str">
            <v>PEA2</v>
          </cell>
          <cell r="F17" t="str">
            <v>콩소미(180g)</v>
          </cell>
          <cell r="G17">
            <v>180</v>
          </cell>
          <cell r="H17">
            <v>20</v>
          </cell>
          <cell r="I17" t="str">
            <v>180g*20봉</v>
          </cell>
          <cell r="J17">
            <v>1200</v>
          </cell>
          <cell r="L17" t="str">
            <v/>
          </cell>
        </row>
        <row r="18">
          <cell r="A18" t="str">
            <v>P</v>
          </cell>
          <cell r="B18" t="str">
            <v>E</v>
          </cell>
          <cell r="C18" t="str">
            <v>A</v>
          </cell>
          <cell r="D18">
            <v>3</v>
          </cell>
          <cell r="E18" t="str">
            <v>PEA3</v>
          </cell>
          <cell r="F18" t="str">
            <v>콩소미(370g)</v>
          </cell>
          <cell r="G18">
            <v>370</v>
          </cell>
          <cell r="H18">
            <v>16</v>
          </cell>
          <cell r="I18" t="str">
            <v>370g*16봉</v>
          </cell>
          <cell r="J18">
            <v>2500</v>
          </cell>
          <cell r="L18" t="str">
            <v/>
          </cell>
        </row>
        <row r="19">
          <cell r="A19" t="str">
            <v>P</v>
          </cell>
          <cell r="B19" t="str">
            <v>E</v>
          </cell>
          <cell r="C19" t="str">
            <v>B</v>
          </cell>
          <cell r="D19">
            <v>1</v>
          </cell>
          <cell r="E19" t="str">
            <v>PEB1</v>
          </cell>
          <cell r="F19" t="str">
            <v>참소미(160g)</v>
          </cell>
          <cell r="G19">
            <v>160</v>
          </cell>
          <cell r="H19">
            <v>20</v>
          </cell>
          <cell r="I19" t="str">
            <v>160g*20봉</v>
          </cell>
          <cell r="J19">
            <v>1200</v>
          </cell>
          <cell r="L19" t="str">
            <v/>
          </cell>
        </row>
        <row r="20">
          <cell r="A20" t="str">
            <v>P</v>
          </cell>
          <cell r="B20" t="str">
            <v>E</v>
          </cell>
          <cell r="C20" t="str">
            <v>B</v>
          </cell>
          <cell r="D20">
            <v>2</v>
          </cell>
          <cell r="E20" t="str">
            <v>PEB2</v>
          </cell>
          <cell r="F20" t="str">
            <v>참소미(330g)</v>
          </cell>
          <cell r="G20">
            <v>330</v>
          </cell>
          <cell r="H20">
            <v>16</v>
          </cell>
          <cell r="I20" t="str">
            <v>330g*16봉</v>
          </cell>
          <cell r="J20">
            <v>2500</v>
          </cell>
          <cell r="L20" t="str">
            <v/>
          </cell>
        </row>
        <row r="21">
          <cell r="A21" t="str">
            <v>P</v>
          </cell>
          <cell r="B21" t="str">
            <v>G</v>
          </cell>
          <cell r="C21" t="str">
            <v>C</v>
          </cell>
          <cell r="D21">
            <v>1</v>
          </cell>
          <cell r="E21" t="str">
            <v>PGC1</v>
          </cell>
          <cell r="F21" t="str">
            <v>롯데바게뜨</v>
          </cell>
          <cell r="G21">
            <v>45</v>
          </cell>
          <cell r="H21">
            <v>30</v>
          </cell>
          <cell r="I21" t="str">
            <v>45g*30봉</v>
          </cell>
          <cell r="J21">
            <v>500</v>
          </cell>
          <cell r="L21" t="str">
            <v/>
          </cell>
        </row>
        <row r="22">
          <cell r="A22" t="str">
            <v>P</v>
          </cell>
          <cell r="B22" t="str">
            <v>F</v>
          </cell>
          <cell r="C22" t="str">
            <v>A</v>
          </cell>
          <cell r="D22">
            <v>1</v>
          </cell>
          <cell r="E22" t="str">
            <v>PFA1</v>
          </cell>
          <cell r="F22" t="str">
            <v>야채크래커</v>
          </cell>
          <cell r="G22">
            <v>160</v>
          </cell>
          <cell r="H22">
            <v>20</v>
          </cell>
          <cell r="I22" t="str">
            <v>160g*20봉</v>
          </cell>
          <cell r="J22">
            <v>1200</v>
          </cell>
          <cell r="L22" t="str">
            <v/>
          </cell>
        </row>
        <row r="23">
          <cell r="A23" t="str">
            <v>P</v>
          </cell>
          <cell r="B23" t="str">
            <v>H</v>
          </cell>
          <cell r="C23" t="str">
            <v>L</v>
          </cell>
          <cell r="D23">
            <v>1</v>
          </cell>
          <cell r="E23" t="str">
            <v>PHL1</v>
          </cell>
          <cell r="F23" t="str">
            <v>분태(금구)</v>
          </cell>
          <cell r="G23">
            <v>10000</v>
          </cell>
          <cell r="H23">
            <v>1</v>
          </cell>
          <cell r="I23" t="str">
            <v>10000g*1봉</v>
          </cell>
          <cell r="J23" t="str">
            <v>무</v>
          </cell>
          <cell r="L23" t="str">
            <v/>
          </cell>
        </row>
        <row r="24">
          <cell r="A24" t="str">
            <v>P</v>
          </cell>
          <cell r="B24" t="str">
            <v>H</v>
          </cell>
          <cell r="C24" t="str">
            <v>M</v>
          </cell>
          <cell r="D24">
            <v>1</v>
          </cell>
          <cell r="E24" t="str">
            <v>PHM1</v>
          </cell>
          <cell r="F24" t="str">
            <v>분태(삼강)</v>
          </cell>
          <cell r="G24">
            <v>10000</v>
          </cell>
          <cell r="H24">
            <v>1</v>
          </cell>
          <cell r="I24" t="str">
            <v>10000g*1봉</v>
          </cell>
          <cell r="J24" t="str">
            <v>무</v>
          </cell>
          <cell r="L24" t="str">
            <v/>
          </cell>
        </row>
        <row r="25">
          <cell r="E25" t="str">
            <v/>
          </cell>
          <cell r="I25" t="str">
            <v/>
          </cell>
          <cell r="L25" t="str">
            <v/>
          </cell>
        </row>
        <row r="26">
          <cell r="E26" t="str">
            <v/>
          </cell>
          <cell r="I26" t="str">
            <v/>
          </cell>
          <cell r="L26" t="str">
            <v/>
          </cell>
        </row>
        <row r="27">
          <cell r="E27" t="str">
            <v/>
          </cell>
          <cell r="I27" t="str">
            <v/>
          </cell>
          <cell r="L27" t="str">
            <v/>
          </cell>
        </row>
        <row r="28">
          <cell r="E28" t="str">
            <v/>
          </cell>
          <cell r="I28" t="str">
            <v/>
          </cell>
          <cell r="L28" t="str">
            <v/>
          </cell>
        </row>
        <row r="29">
          <cell r="E29" t="str">
            <v/>
          </cell>
          <cell r="I29" t="str">
            <v/>
          </cell>
          <cell r="L29" t="str">
            <v/>
          </cell>
        </row>
        <row r="30">
          <cell r="E30" t="str">
            <v/>
          </cell>
          <cell r="I30" t="str">
            <v/>
          </cell>
          <cell r="L30" t="str">
            <v/>
          </cell>
        </row>
        <row r="31">
          <cell r="E31" t="str">
            <v/>
          </cell>
          <cell r="I31" t="str">
            <v/>
          </cell>
          <cell r="L31" t="str">
            <v/>
          </cell>
        </row>
        <row r="32">
          <cell r="E32" t="str">
            <v/>
          </cell>
          <cell r="I32" t="str">
            <v/>
          </cell>
          <cell r="L32" t="str">
            <v/>
          </cell>
        </row>
        <row r="33">
          <cell r="E33" t="str">
            <v/>
          </cell>
          <cell r="I33" t="str">
            <v/>
          </cell>
          <cell r="L33" t="str">
            <v/>
          </cell>
        </row>
        <row r="34">
          <cell r="E34" t="str">
            <v/>
          </cell>
          <cell r="I34" t="str">
            <v/>
          </cell>
          <cell r="L34" t="str">
            <v/>
          </cell>
        </row>
        <row r="35">
          <cell r="E35" t="str">
            <v/>
          </cell>
          <cell r="I35" t="str">
            <v/>
          </cell>
          <cell r="L35" t="str">
            <v/>
          </cell>
        </row>
        <row r="36">
          <cell r="E36" t="str">
            <v/>
          </cell>
          <cell r="I36" t="str">
            <v/>
          </cell>
          <cell r="L36" t="str">
            <v/>
          </cell>
        </row>
        <row r="37">
          <cell r="E37" t="str">
            <v/>
          </cell>
          <cell r="I37" t="str">
            <v/>
          </cell>
          <cell r="L37" t="str">
            <v/>
          </cell>
        </row>
        <row r="38">
          <cell r="E38" t="str">
            <v/>
          </cell>
          <cell r="I38" t="str">
            <v/>
          </cell>
          <cell r="L38" t="str">
            <v/>
          </cell>
        </row>
        <row r="39">
          <cell r="E39" t="str">
            <v/>
          </cell>
          <cell r="I39" t="str">
            <v/>
          </cell>
          <cell r="L39" t="str">
            <v/>
          </cell>
        </row>
        <row r="40">
          <cell r="E40" t="str">
            <v/>
          </cell>
          <cell r="I40" t="str">
            <v/>
          </cell>
          <cell r="L40" t="str">
            <v/>
          </cell>
        </row>
        <row r="41">
          <cell r="E41" t="str">
            <v/>
          </cell>
          <cell r="I41" t="str">
            <v/>
          </cell>
          <cell r="L41" t="str">
            <v/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9"/>
  <sheetViews>
    <sheetView tabSelected="1" workbookViewId="0">
      <selection activeCell="E26" sqref="E26"/>
    </sheetView>
  </sheetViews>
  <sheetFormatPr defaultRowHeight="17.399999999999999" x14ac:dyDescent="0.4"/>
  <cols>
    <col min="2" max="2" width="23.59765625" bestFit="1" customWidth="1"/>
    <col min="3" max="3" width="7.59765625" customWidth="1"/>
    <col min="4" max="4" width="8.59765625" customWidth="1"/>
    <col min="5" max="5" width="9.59765625" bestFit="1" customWidth="1"/>
    <col min="6" max="7" width="6.59765625" customWidth="1"/>
    <col min="8" max="9" width="9.59765625" style="8" customWidth="1"/>
    <col min="11" max="11" width="9.3984375" customWidth="1"/>
    <col min="12" max="14" width="8.59765625" customWidth="1"/>
  </cols>
  <sheetData>
    <row r="1" spans="1:17" x14ac:dyDescent="0.4">
      <c r="A1" s="11" t="s">
        <v>9</v>
      </c>
      <c r="B1" s="11" t="s">
        <v>6</v>
      </c>
      <c r="C1" s="11" t="s">
        <v>8</v>
      </c>
      <c r="D1" s="11" t="s">
        <v>10</v>
      </c>
      <c r="E1" s="11" t="s">
        <v>155</v>
      </c>
      <c r="F1" s="11" t="s">
        <v>158</v>
      </c>
      <c r="G1" s="11" t="s">
        <v>157</v>
      </c>
      <c r="H1" s="12" t="s">
        <v>11</v>
      </c>
      <c r="I1" s="12" t="s">
        <v>12</v>
      </c>
      <c r="J1" s="11" t="s">
        <v>13</v>
      </c>
      <c r="K1" s="11"/>
    </row>
    <row r="2" spans="1:17" x14ac:dyDescent="0.4">
      <c r="A2" s="11" t="s">
        <v>30</v>
      </c>
      <c r="B2" s="11" t="s">
        <v>0</v>
      </c>
      <c r="C2" s="11">
        <v>10</v>
      </c>
      <c r="D2" s="11" t="s">
        <v>11</v>
      </c>
      <c r="E2" s="11"/>
      <c r="F2" s="11"/>
      <c r="G2" s="11"/>
      <c r="H2" s="12">
        <v>95</v>
      </c>
      <c r="I2" s="12">
        <v>950</v>
      </c>
      <c r="J2" s="11"/>
    </row>
    <row r="3" spans="1:17" x14ac:dyDescent="0.4">
      <c r="A3" s="11" t="s">
        <v>17</v>
      </c>
      <c r="B3" s="11" t="s">
        <v>1</v>
      </c>
      <c r="C3" s="11">
        <v>8</v>
      </c>
      <c r="D3" s="11" t="s">
        <v>11</v>
      </c>
      <c r="E3" s="11"/>
      <c r="F3" s="11"/>
      <c r="G3" s="11"/>
      <c r="H3" s="12">
        <v>178</v>
      </c>
      <c r="I3" s="12">
        <v>1424</v>
      </c>
      <c r="J3" s="11"/>
    </row>
    <row r="4" spans="1:17" x14ac:dyDescent="0.35">
      <c r="A4" s="18" t="s">
        <v>185</v>
      </c>
      <c r="B4" s="18" t="s">
        <v>186</v>
      </c>
      <c r="C4" s="11">
        <v>10</v>
      </c>
      <c r="D4" s="18" t="s">
        <v>5</v>
      </c>
      <c r="H4" s="12">
        <v>40</v>
      </c>
      <c r="I4" s="12">
        <v>400</v>
      </c>
      <c r="J4" s="11"/>
      <c r="N4" s="151" t="s">
        <v>195</v>
      </c>
      <c r="O4" s="152"/>
      <c r="P4" s="152"/>
      <c r="Q4" s="153"/>
    </row>
    <row r="5" spans="1:17" x14ac:dyDescent="0.35">
      <c r="A5" s="18" t="s">
        <v>187</v>
      </c>
      <c r="B5" s="18" t="s">
        <v>188</v>
      </c>
      <c r="C5" s="11">
        <v>10</v>
      </c>
      <c r="D5" s="18" t="s">
        <v>5</v>
      </c>
      <c r="H5" s="12">
        <v>286</v>
      </c>
      <c r="I5" s="12">
        <v>2860</v>
      </c>
      <c r="J5" s="11"/>
      <c r="N5" s="154"/>
      <c r="O5" s="155"/>
      <c r="P5" s="155"/>
      <c r="Q5" s="156"/>
    </row>
    <row r="6" spans="1:17" x14ac:dyDescent="0.4">
      <c r="A6" s="11" t="s">
        <v>29</v>
      </c>
      <c r="B6" s="11" t="s">
        <v>35</v>
      </c>
      <c r="C6" s="11">
        <v>6</v>
      </c>
      <c r="D6" s="11" t="s">
        <v>36</v>
      </c>
      <c r="E6" s="11"/>
      <c r="F6" s="11"/>
      <c r="G6" s="11"/>
      <c r="H6" s="12">
        <v>18</v>
      </c>
      <c r="I6" s="12">
        <v>108</v>
      </c>
      <c r="J6" s="11"/>
      <c r="N6" s="154"/>
      <c r="O6" s="155"/>
      <c r="P6" s="155"/>
      <c r="Q6" s="156"/>
    </row>
    <row r="7" spans="1:17" x14ac:dyDescent="0.4">
      <c r="A7" s="11" t="s">
        <v>27</v>
      </c>
      <c r="B7" s="11" t="s">
        <v>37</v>
      </c>
      <c r="C7" s="11">
        <v>10</v>
      </c>
      <c r="D7" s="11" t="s">
        <v>36</v>
      </c>
      <c r="E7" s="11"/>
      <c r="F7" s="11"/>
      <c r="G7" s="11"/>
      <c r="H7" s="12">
        <v>36</v>
      </c>
      <c r="I7" s="12">
        <v>360</v>
      </c>
      <c r="J7" s="11"/>
      <c r="N7" s="154"/>
      <c r="O7" s="155"/>
      <c r="P7" s="155"/>
      <c r="Q7" s="156"/>
    </row>
    <row r="8" spans="1:17" x14ac:dyDescent="0.4">
      <c r="A8" s="11" t="s">
        <v>19</v>
      </c>
      <c r="B8" s="11" t="s">
        <v>38</v>
      </c>
      <c r="C8" s="11">
        <v>6</v>
      </c>
      <c r="D8" s="11" t="s">
        <v>36</v>
      </c>
      <c r="E8" s="11"/>
      <c r="F8" s="11"/>
      <c r="G8" s="11"/>
      <c r="H8" s="60">
        <v>792</v>
      </c>
      <c r="I8" s="12">
        <v>4752</v>
      </c>
      <c r="J8" s="11"/>
      <c r="N8" s="154"/>
      <c r="O8" s="155"/>
      <c r="P8" s="155"/>
      <c r="Q8" s="156"/>
    </row>
    <row r="9" spans="1:17" x14ac:dyDescent="0.4">
      <c r="A9" s="11" t="s">
        <v>28</v>
      </c>
      <c r="B9" s="11" t="s">
        <v>41</v>
      </c>
      <c r="C9" s="11">
        <v>10</v>
      </c>
      <c r="D9" s="11" t="s">
        <v>36</v>
      </c>
      <c r="E9" s="11"/>
      <c r="F9" s="11"/>
      <c r="G9" s="11"/>
      <c r="H9" s="12">
        <v>23</v>
      </c>
      <c r="I9" s="12">
        <v>230</v>
      </c>
      <c r="J9" s="11"/>
      <c r="N9" s="154"/>
      <c r="O9" s="155"/>
      <c r="P9" s="155"/>
      <c r="Q9" s="156"/>
    </row>
    <row r="10" spans="1:17" x14ac:dyDescent="0.4">
      <c r="A10" s="11" t="s">
        <v>16</v>
      </c>
      <c r="B10" s="11" t="s">
        <v>42</v>
      </c>
      <c r="C10" s="11">
        <v>10</v>
      </c>
      <c r="D10" s="11" t="s">
        <v>36</v>
      </c>
      <c r="E10" s="11"/>
      <c r="F10" s="11"/>
      <c r="G10" s="11"/>
      <c r="H10" s="12">
        <v>10</v>
      </c>
      <c r="I10" s="12">
        <v>100</v>
      </c>
      <c r="J10" s="11"/>
      <c r="N10" s="154"/>
      <c r="O10" s="155"/>
      <c r="P10" s="155"/>
      <c r="Q10" s="156"/>
    </row>
    <row r="11" spans="1:17" x14ac:dyDescent="0.4">
      <c r="A11" s="11" t="s">
        <v>20</v>
      </c>
      <c r="B11" s="11" t="s">
        <v>46</v>
      </c>
      <c r="C11" s="11">
        <v>10</v>
      </c>
      <c r="D11" s="11" t="s">
        <v>36</v>
      </c>
      <c r="E11" s="11" t="s">
        <v>154</v>
      </c>
      <c r="F11" s="11" t="s">
        <v>156</v>
      </c>
      <c r="G11" s="11">
        <v>0</v>
      </c>
      <c r="H11" s="60">
        <v>0</v>
      </c>
      <c r="I11" s="12">
        <v>0</v>
      </c>
      <c r="J11" s="11"/>
      <c r="N11" s="154"/>
      <c r="O11" s="155"/>
      <c r="P11" s="155"/>
      <c r="Q11" s="156"/>
    </row>
    <row r="12" spans="1:17" x14ac:dyDescent="0.4">
      <c r="A12" s="11" t="s">
        <v>15</v>
      </c>
      <c r="B12" s="11" t="s">
        <v>2</v>
      </c>
      <c r="C12" s="11">
        <v>10</v>
      </c>
      <c r="D12" s="11" t="s">
        <v>11</v>
      </c>
      <c r="E12" s="11"/>
      <c r="F12" s="11"/>
      <c r="G12" s="11"/>
      <c r="H12" s="12">
        <v>209</v>
      </c>
      <c r="I12" s="12">
        <v>2090</v>
      </c>
      <c r="J12" s="11"/>
      <c r="N12" s="154"/>
      <c r="O12" s="155"/>
      <c r="P12" s="155"/>
      <c r="Q12" s="156"/>
    </row>
    <row r="13" spans="1:17" x14ac:dyDescent="0.4">
      <c r="A13" s="11" t="s">
        <v>21</v>
      </c>
      <c r="B13" s="49" t="s">
        <v>3</v>
      </c>
      <c r="C13" s="11">
        <v>10</v>
      </c>
      <c r="D13" s="11" t="s">
        <v>11</v>
      </c>
      <c r="E13" s="11" t="s">
        <v>154</v>
      </c>
      <c r="F13" s="11" t="s">
        <v>156</v>
      </c>
      <c r="G13" s="11">
        <v>0</v>
      </c>
      <c r="H13" s="12">
        <v>0</v>
      </c>
      <c r="I13" s="12">
        <v>0</v>
      </c>
      <c r="J13" s="11"/>
      <c r="N13" s="154"/>
      <c r="O13" s="155"/>
      <c r="P13" s="155"/>
      <c r="Q13" s="156"/>
    </row>
    <row r="14" spans="1:17" x14ac:dyDescent="0.35">
      <c r="A14" s="1" t="s">
        <v>33</v>
      </c>
      <c r="B14" s="18" t="s">
        <v>34</v>
      </c>
      <c r="C14" s="11">
        <v>8</v>
      </c>
      <c r="D14" s="1" t="s">
        <v>5</v>
      </c>
      <c r="E14" s="1"/>
      <c r="F14" s="1"/>
      <c r="G14" s="1"/>
      <c r="H14" s="12">
        <v>5</v>
      </c>
      <c r="I14" s="12">
        <v>40</v>
      </c>
      <c r="J14" s="11"/>
      <c r="N14" s="154"/>
      <c r="O14" s="155"/>
      <c r="P14" s="155"/>
      <c r="Q14" s="156"/>
    </row>
    <row r="15" spans="1:17" x14ac:dyDescent="0.4">
      <c r="A15" s="11" t="s">
        <v>18</v>
      </c>
      <c r="B15" s="11" t="s">
        <v>47</v>
      </c>
      <c r="C15" s="11">
        <v>10</v>
      </c>
      <c r="D15" s="11" t="s">
        <v>36</v>
      </c>
      <c r="E15" s="11"/>
      <c r="F15" s="11"/>
      <c r="G15" s="11"/>
      <c r="H15" s="12">
        <v>262</v>
      </c>
      <c r="I15" s="12">
        <v>2620</v>
      </c>
      <c r="J15" s="11"/>
      <c r="N15" s="154"/>
      <c r="O15" s="155"/>
      <c r="P15" s="155"/>
      <c r="Q15" s="156"/>
    </row>
    <row r="16" spans="1:17" x14ac:dyDescent="0.25">
      <c r="A16" s="11" t="s">
        <v>22</v>
      </c>
      <c r="B16" s="11" t="s">
        <v>39</v>
      </c>
      <c r="C16" s="11">
        <v>3</v>
      </c>
      <c r="D16" s="11" t="s">
        <v>40</v>
      </c>
      <c r="H16" s="61">
        <v>5</v>
      </c>
      <c r="I16" s="9">
        <v>15</v>
      </c>
      <c r="J16" s="11"/>
      <c r="N16" s="157"/>
      <c r="O16" s="158"/>
      <c r="P16" s="158"/>
      <c r="Q16" s="159"/>
    </row>
    <row r="17" spans="1:10" x14ac:dyDescent="0.4">
      <c r="A17" s="11" t="s">
        <v>23</v>
      </c>
      <c r="B17" s="11" t="s">
        <v>43</v>
      </c>
      <c r="C17" s="11">
        <v>10</v>
      </c>
      <c r="D17" s="11" t="s">
        <v>40</v>
      </c>
      <c r="E17" s="11"/>
      <c r="F17" s="11"/>
      <c r="G17" s="11"/>
      <c r="H17" s="12">
        <v>1</v>
      </c>
      <c r="I17" s="12">
        <v>6</v>
      </c>
      <c r="J17" s="11"/>
    </row>
    <row r="18" spans="1:10" x14ac:dyDescent="0.4">
      <c r="A18" s="11" t="s">
        <v>25</v>
      </c>
      <c r="B18" s="11" t="s">
        <v>44</v>
      </c>
      <c r="C18" s="11">
        <v>3</v>
      </c>
      <c r="D18" s="11" t="s">
        <v>40</v>
      </c>
      <c r="E18" s="11"/>
      <c r="F18" s="11"/>
      <c r="G18" s="11"/>
      <c r="H18" s="12">
        <v>2</v>
      </c>
      <c r="I18" s="12">
        <v>4</v>
      </c>
      <c r="J18" s="11"/>
    </row>
    <row r="19" spans="1:10" x14ac:dyDescent="0.25">
      <c r="A19" s="11" t="s">
        <v>26</v>
      </c>
      <c r="B19" s="11" t="s">
        <v>45</v>
      </c>
      <c r="C19" s="11">
        <v>3</v>
      </c>
      <c r="D19" s="11" t="s">
        <v>40</v>
      </c>
      <c r="E19" s="11"/>
      <c r="F19" s="11"/>
      <c r="G19" s="11"/>
      <c r="H19" s="61">
        <v>17</v>
      </c>
      <c r="I19" s="9">
        <v>51</v>
      </c>
    </row>
    <row r="20" spans="1:10" x14ac:dyDescent="0.4">
      <c r="A20" s="5"/>
      <c r="B20" s="5"/>
      <c r="C20" s="5"/>
      <c r="D20" s="5"/>
      <c r="E20" s="5"/>
      <c r="F20" s="5"/>
      <c r="G20" s="5"/>
      <c r="H20" s="143">
        <f>SUM(H2:H19)</f>
        <v>1979</v>
      </c>
      <c r="I20" s="143">
        <f>SUM(I2:I19)</f>
        <v>16010</v>
      </c>
    </row>
    <row r="21" spans="1:10" x14ac:dyDescent="0.25">
      <c r="E21" s="4"/>
      <c r="F21" s="4"/>
      <c r="G21" s="4"/>
      <c r="H21" s="9"/>
      <c r="I21" s="9"/>
    </row>
    <row r="23" spans="1:10" x14ac:dyDescent="0.25">
      <c r="H23" s="62"/>
      <c r="I23" s="10"/>
    </row>
    <row r="26" spans="1:10" x14ac:dyDescent="0.25">
      <c r="A26" s="1"/>
      <c r="B26" s="1"/>
      <c r="C26" s="1"/>
      <c r="D26" s="2"/>
      <c r="E26" s="2"/>
      <c r="F26" s="2"/>
      <c r="G26" s="2"/>
      <c r="H26" s="62"/>
      <c r="I26" s="10"/>
    </row>
    <row r="27" spans="1:10" x14ac:dyDescent="0.25">
      <c r="A27" s="1"/>
      <c r="B27" s="1"/>
      <c r="C27" s="1"/>
      <c r="D27" s="2"/>
      <c r="E27" s="2"/>
      <c r="F27" s="2"/>
      <c r="G27" s="2"/>
      <c r="H27" s="62"/>
      <c r="I27" s="10"/>
    </row>
    <row r="28" spans="1:10" x14ac:dyDescent="0.25">
      <c r="A28" s="1"/>
      <c r="B28" s="1"/>
      <c r="C28" s="1"/>
      <c r="D28" s="2"/>
      <c r="E28" s="2"/>
      <c r="F28" s="2"/>
      <c r="G28" s="2"/>
      <c r="H28" s="62"/>
      <c r="I28" s="10"/>
    </row>
    <row r="29" spans="1:10" x14ac:dyDescent="0.25">
      <c r="A29" s="1"/>
      <c r="B29" s="1"/>
      <c r="C29" s="1"/>
      <c r="D29" s="2"/>
      <c r="E29" s="2"/>
      <c r="F29" s="2"/>
      <c r="G29" s="2"/>
      <c r="H29" s="62"/>
      <c r="I29" s="10"/>
    </row>
  </sheetData>
  <mergeCells count="1">
    <mergeCell ref="N4:Q1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9"/>
  <sheetViews>
    <sheetView workbookViewId="0">
      <selection activeCell="I24" sqref="I24"/>
    </sheetView>
  </sheetViews>
  <sheetFormatPr defaultColWidth="8.59765625" defaultRowHeight="17.399999999999999" x14ac:dyDescent="0.4"/>
  <cols>
    <col min="1" max="1" width="10.8984375" style="6" customWidth="1"/>
    <col min="2" max="2" width="30.69921875" style="6" customWidth="1"/>
    <col min="3" max="3" width="7.8984375" style="6" bestFit="1" customWidth="1"/>
    <col min="4" max="4" width="9.59765625" style="6" bestFit="1" customWidth="1"/>
    <col min="5" max="5" width="11.19921875" style="6" bestFit="1" customWidth="1"/>
    <col min="6" max="6" width="11.3984375" style="6" customWidth="1"/>
    <col min="7" max="9" width="11.09765625" style="6" customWidth="1"/>
    <col min="10" max="10" width="23.69921875" style="6" bestFit="1" customWidth="1"/>
    <col min="11" max="11" width="9.19921875" style="69" customWidth="1"/>
    <col min="12" max="15" width="11.09765625" style="6" customWidth="1"/>
    <col min="16" max="17" width="11.09765625" style="49" customWidth="1"/>
    <col min="18" max="16384" width="8.59765625" style="6"/>
  </cols>
  <sheetData>
    <row r="1" spans="1:16" x14ac:dyDescent="0.25">
      <c r="A1" s="52" t="s">
        <v>14</v>
      </c>
      <c r="B1" s="52" t="s">
        <v>159</v>
      </c>
      <c r="C1" s="52" t="s">
        <v>4</v>
      </c>
      <c r="D1" s="52" t="s">
        <v>160</v>
      </c>
      <c r="E1" s="52" t="s">
        <v>161</v>
      </c>
      <c r="F1" s="52" t="s">
        <v>162</v>
      </c>
      <c r="I1" s="67" t="s">
        <v>9</v>
      </c>
      <c r="J1" s="67" t="s">
        <v>6</v>
      </c>
      <c r="K1" s="67" t="s">
        <v>167</v>
      </c>
      <c r="L1" s="67" t="s">
        <v>165</v>
      </c>
      <c r="M1" s="67" t="s">
        <v>208</v>
      </c>
      <c r="N1" s="67" t="s">
        <v>209</v>
      </c>
      <c r="O1" s="67" t="s">
        <v>166</v>
      </c>
    </row>
    <row r="2" spans="1:16" x14ac:dyDescent="0.25">
      <c r="A2" s="1" t="s">
        <v>15</v>
      </c>
      <c r="B2" s="1" t="s">
        <v>200</v>
      </c>
      <c r="C2" s="1" t="s">
        <v>5</v>
      </c>
      <c r="D2" s="2">
        <v>13</v>
      </c>
      <c r="E2" s="53">
        <v>43952</v>
      </c>
      <c r="F2" s="1" t="s">
        <v>163</v>
      </c>
      <c r="I2" s="49" t="s">
        <v>30</v>
      </c>
      <c r="J2" s="49" t="s">
        <v>0</v>
      </c>
      <c r="K2" s="49" t="s">
        <v>11</v>
      </c>
      <c r="L2" s="49">
        <v>95</v>
      </c>
      <c r="M2" s="49">
        <v>0</v>
      </c>
      <c r="N2" s="49">
        <v>0</v>
      </c>
      <c r="O2" s="49">
        <v>95</v>
      </c>
    </row>
    <row r="3" spans="1:16" x14ac:dyDescent="0.25">
      <c r="A3" s="1" t="s">
        <v>27</v>
      </c>
      <c r="B3" s="1" t="s">
        <v>204</v>
      </c>
      <c r="C3" s="1" t="s">
        <v>5</v>
      </c>
      <c r="D3" s="2">
        <v>36</v>
      </c>
      <c r="E3" s="53">
        <v>43952</v>
      </c>
      <c r="F3" s="1" t="s">
        <v>163</v>
      </c>
      <c r="I3" s="49" t="s">
        <v>17</v>
      </c>
      <c r="J3" s="49" t="s">
        <v>1</v>
      </c>
      <c r="K3" s="49" t="s">
        <v>11</v>
      </c>
      <c r="L3" s="49">
        <v>0</v>
      </c>
      <c r="M3" s="49">
        <v>0</v>
      </c>
      <c r="N3" s="49">
        <v>178</v>
      </c>
      <c r="O3" s="49">
        <v>178</v>
      </c>
    </row>
    <row r="4" spans="1:16" x14ac:dyDescent="0.35">
      <c r="A4" s="1" t="s">
        <v>28</v>
      </c>
      <c r="B4" s="1" t="s">
        <v>205</v>
      </c>
      <c r="C4" s="1" t="s">
        <v>5</v>
      </c>
      <c r="D4" s="2">
        <v>23</v>
      </c>
      <c r="E4" s="53">
        <v>43952</v>
      </c>
      <c r="F4" s="1" t="s">
        <v>163</v>
      </c>
      <c r="I4" s="50" t="s">
        <v>185</v>
      </c>
      <c r="J4" s="50" t="s">
        <v>186</v>
      </c>
      <c r="K4" s="50" t="s">
        <v>5</v>
      </c>
      <c r="L4" s="49">
        <v>40</v>
      </c>
      <c r="M4" s="49">
        <v>0</v>
      </c>
      <c r="N4" s="49">
        <v>0</v>
      </c>
      <c r="O4" s="49">
        <v>40</v>
      </c>
    </row>
    <row r="5" spans="1:16" x14ac:dyDescent="0.35">
      <c r="A5" s="1" t="s">
        <v>185</v>
      </c>
      <c r="B5" s="1" t="s">
        <v>186</v>
      </c>
      <c r="C5" s="1" t="s">
        <v>5</v>
      </c>
      <c r="D5" s="2">
        <v>40</v>
      </c>
      <c r="E5" s="53">
        <v>43952</v>
      </c>
      <c r="F5" s="1" t="s">
        <v>163</v>
      </c>
      <c r="I5" s="50" t="s">
        <v>187</v>
      </c>
      <c r="J5" s="50" t="s">
        <v>188</v>
      </c>
      <c r="K5" s="50" t="s">
        <v>5</v>
      </c>
      <c r="L5" s="49">
        <v>286</v>
      </c>
      <c r="M5" s="49">
        <v>0</v>
      </c>
      <c r="N5" s="49">
        <v>0</v>
      </c>
      <c r="O5" s="49">
        <v>286</v>
      </c>
    </row>
    <row r="6" spans="1:16" x14ac:dyDescent="0.25">
      <c r="A6" s="1" t="s">
        <v>16</v>
      </c>
      <c r="B6" s="1" t="s">
        <v>201</v>
      </c>
      <c r="C6" s="1" t="s">
        <v>5</v>
      </c>
      <c r="D6" s="2">
        <v>5</v>
      </c>
      <c r="E6" s="53">
        <v>43952</v>
      </c>
      <c r="F6" s="1" t="s">
        <v>163</v>
      </c>
      <c r="I6" s="49" t="s">
        <v>29</v>
      </c>
      <c r="J6" s="49" t="s">
        <v>35</v>
      </c>
      <c r="K6" s="49" t="s">
        <v>11</v>
      </c>
      <c r="L6" s="49">
        <v>18</v>
      </c>
      <c r="M6" s="49">
        <v>0</v>
      </c>
      <c r="N6" s="49">
        <v>0</v>
      </c>
      <c r="O6" s="49">
        <v>18</v>
      </c>
    </row>
    <row r="7" spans="1:16" x14ac:dyDescent="0.25">
      <c r="A7" s="1" t="s">
        <v>29</v>
      </c>
      <c r="B7" s="1" t="s">
        <v>206</v>
      </c>
      <c r="C7" s="1" t="s">
        <v>5</v>
      </c>
      <c r="D7" s="2">
        <v>18</v>
      </c>
      <c r="E7" s="53">
        <v>43952</v>
      </c>
      <c r="F7" s="1" t="s">
        <v>163</v>
      </c>
      <c r="I7" s="49" t="s">
        <v>27</v>
      </c>
      <c r="J7" s="49" t="s">
        <v>37</v>
      </c>
      <c r="K7" s="49" t="s">
        <v>11</v>
      </c>
      <c r="L7" s="49">
        <v>36</v>
      </c>
      <c r="M7" s="49">
        <v>0</v>
      </c>
      <c r="N7" s="49">
        <v>0</v>
      </c>
      <c r="O7" s="49">
        <v>36</v>
      </c>
    </row>
    <row r="8" spans="1:16" x14ac:dyDescent="0.25">
      <c r="A8" s="1" t="s">
        <v>18</v>
      </c>
      <c r="B8" s="1" t="s">
        <v>203</v>
      </c>
      <c r="C8" s="1" t="s">
        <v>5</v>
      </c>
      <c r="D8" s="2">
        <v>241</v>
      </c>
      <c r="E8" s="53">
        <v>43952</v>
      </c>
      <c r="F8" s="1" t="s">
        <v>163</v>
      </c>
      <c r="I8" s="49" t="s">
        <v>19</v>
      </c>
      <c r="J8" s="49" t="s">
        <v>38</v>
      </c>
      <c r="K8" s="49" t="s">
        <v>11</v>
      </c>
      <c r="L8" s="49">
        <v>7</v>
      </c>
      <c r="M8" s="49">
        <v>0</v>
      </c>
      <c r="N8" s="49">
        <v>785</v>
      </c>
      <c r="O8" s="49">
        <v>792</v>
      </c>
    </row>
    <row r="9" spans="1:16" x14ac:dyDescent="0.25">
      <c r="A9" s="1" t="s">
        <v>187</v>
      </c>
      <c r="B9" s="1" t="s">
        <v>188</v>
      </c>
      <c r="C9" s="1" t="s">
        <v>5</v>
      </c>
      <c r="D9" s="2">
        <v>286</v>
      </c>
      <c r="E9" s="53">
        <v>43952</v>
      </c>
      <c r="F9" s="1" t="s">
        <v>163</v>
      </c>
      <c r="I9" s="49" t="s">
        <v>28</v>
      </c>
      <c r="J9" s="49" t="s">
        <v>41</v>
      </c>
      <c r="K9" s="49" t="s">
        <v>11</v>
      </c>
      <c r="L9" s="49">
        <v>23</v>
      </c>
      <c r="M9" s="49">
        <v>0</v>
      </c>
      <c r="N9" s="49">
        <v>0</v>
      </c>
      <c r="O9" s="49">
        <v>23</v>
      </c>
    </row>
    <row r="10" spans="1:16" x14ac:dyDescent="0.25">
      <c r="A10" s="1" t="s">
        <v>33</v>
      </c>
      <c r="B10" s="1" t="s">
        <v>34</v>
      </c>
      <c r="C10" s="1" t="s">
        <v>5</v>
      </c>
      <c r="D10" s="2">
        <v>5</v>
      </c>
      <c r="E10" s="53">
        <v>43952</v>
      </c>
      <c r="F10" s="1" t="s">
        <v>163</v>
      </c>
      <c r="I10" s="49" t="s">
        <v>16</v>
      </c>
      <c r="J10" s="49" t="s">
        <v>42</v>
      </c>
      <c r="K10" s="49" t="s">
        <v>11</v>
      </c>
      <c r="L10" s="49">
        <v>5</v>
      </c>
      <c r="M10" s="49">
        <v>0</v>
      </c>
      <c r="N10" s="49">
        <v>5</v>
      </c>
      <c r="O10" s="49">
        <v>10</v>
      </c>
    </row>
    <row r="11" spans="1:16" x14ac:dyDescent="0.25">
      <c r="A11" s="1" t="s">
        <v>30</v>
      </c>
      <c r="B11" s="1" t="s">
        <v>207</v>
      </c>
      <c r="C11" s="1" t="s">
        <v>5</v>
      </c>
      <c r="D11" s="2">
        <v>95</v>
      </c>
      <c r="E11" s="53">
        <v>43952</v>
      </c>
      <c r="F11" s="1" t="s">
        <v>163</v>
      </c>
      <c r="I11" s="49" t="s">
        <v>20</v>
      </c>
      <c r="J11" s="49" t="s">
        <v>46</v>
      </c>
      <c r="K11" s="49" t="s">
        <v>11</v>
      </c>
      <c r="L11" s="49">
        <v>0</v>
      </c>
      <c r="M11" s="49">
        <v>0</v>
      </c>
      <c r="N11" s="49">
        <v>0</v>
      </c>
      <c r="O11" s="49">
        <v>0</v>
      </c>
    </row>
    <row r="12" spans="1:16" x14ac:dyDescent="0.25">
      <c r="A12" s="1" t="s">
        <v>19</v>
      </c>
      <c r="B12" s="1" t="s">
        <v>164</v>
      </c>
      <c r="C12" s="1" t="s">
        <v>5</v>
      </c>
      <c r="D12" s="2">
        <v>7</v>
      </c>
      <c r="E12" s="53">
        <v>43952</v>
      </c>
      <c r="F12" s="1" t="s">
        <v>163</v>
      </c>
      <c r="I12" s="49" t="s">
        <v>15</v>
      </c>
      <c r="J12" s="49" t="s">
        <v>2</v>
      </c>
      <c r="K12" s="49" t="s">
        <v>11</v>
      </c>
      <c r="L12" s="49">
        <v>13</v>
      </c>
      <c r="M12" s="49">
        <v>0</v>
      </c>
      <c r="N12" s="49">
        <v>196</v>
      </c>
      <c r="O12" s="49">
        <v>209</v>
      </c>
    </row>
    <row r="13" spans="1:16" x14ac:dyDescent="0.4">
      <c r="I13" s="49" t="s">
        <v>21</v>
      </c>
      <c r="J13" s="49" t="s">
        <v>3</v>
      </c>
      <c r="K13" s="49" t="s">
        <v>11</v>
      </c>
      <c r="L13" s="49">
        <v>0</v>
      </c>
      <c r="M13" s="49">
        <v>0</v>
      </c>
      <c r="N13" s="49">
        <v>0</v>
      </c>
      <c r="O13" s="49">
        <v>0</v>
      </c>
    </row>
    <row r="14" spans="1:16" x14ac:dyDescent="0.35">
      <c r="A14" s="52" t="s">
        <v>14</v>
      </c>
      <c r="B14" s="52" t="s">
        <v>159</v>
      </c>
      <c r="C14" s="52" t="s">
        <v>4</v>
      </c>
      <c r="D14" s="52" t="s">
        <v>160</v>
      </c>
      <c r="E14" s="52" t="s">
        <v>161</v>
      </c>
      <c r="F14" s="52" t="s">
        <v>162</v>
      </c>
      <c r="I14" s="7" t="s">
        <v>33</v>
      </c>
      <c r="J14" s="50" t="s">
        <v>34</v>
      </c>
      <c r="K14" s="50" t="s">
        <v>5</v>
      </c>
      <c r="L14" s="49">
        <v>5</v>
      </c>
      <c r="M14" s="49">
        <v>0</v>
      </c>
      <c r="N14" s="49">
        <v>0</v>
      </c>
      <c r="O14" s="49">
        <v>5</v>
      </c>
    </row>
    <row r="15" spans="1:16" x14ac:dyDescent="0.25">
      <c r="A15" s="1" t="s">
        <v>22</v>
      </c>
      <c r="B15" s="1" t="s">
        <v>199</v>
      </c>
      <c r="C15" s="1" t="s">
        <v>7</v>
      </c>
      <c r="D15" s="2">
        <v>15</v>
      </c>
      <c r="E15" s="53">
        <v>43952</v>
      </c>
      <c r="F15" s="1" t="s">
        <v>163</v>
      </c>
      <c r="I15" s="49" t="s">
        <v>18</v>
      </c>
      <c r="J15" s="49" t="s">
        <v>47</v>
      </c>
      <c r="K15" s="49" t="s">
        <v>11</v>
      </c>
      <c r="L15" s="49">
        <v>241</v>
      </c>
      <c r="M15" s="49">
        <v>0</v>
      </c>
      <c r="N15" s="49">
        <v>21</v>
      </c>
      <c r="O15" s="49">
        <v>262</v>
      </c>
    </row>
    <row r="16" spans="1:16" x14ac:dyDescent="0.25">
      <c r="A16" s="1" t="s">
        <v>23</v>
      </c>
      <c r="B16" s="1" t="s">
        <v>210</v>
      </c>
      <c r="C16" s="1" t="s">
        <v>7</v>
      </c>
      <c r="D16" s="2">
        <v>6</v>
      </c>
      <c r="E16" s="53">
        <v>43952</v>
      </c>
      <c r="F16" s="1" t="s">
        <v>163</v>
      </c>
      <c r="I16" s="49" t="s">
        <v>22</v>
      </c>
      <c r="J16" s="49" t="s">
        <v>39</v>
      </c>
      <c r="K16" s="49" t="s">
        <v>12</v>
      </c>
      <c r="L16" s="117">
        <v>0</v>
      </c>
      <c r="M16" s="117">
        <v>15</v>
      </c>
      <c r="N16" s="117">
        <v>0</v>
      </c>
      <c r="O16" s="117">
        <v>15</v>
      </c>
      <c r="P16" s="117"/>
    </row>
    <row r="17" spans="1:16" x14ac:dyDescent="0.25">
      <c r="A17" s="1" t="s">
        <v>25</v>
      </c>
      <c r="B17" s="1" t="s">
        <v>211</v>
      </c>
      <c r="C17" s="1" t="s">
        <v>7</v>
      </c>
      <c r="D17" s="2">
        <v>4</v>
      </c>
      <c r="E17" s="53">
        <v>43952</v>
      </c>
      <c r="F17" s="1" t="s">
        <v>163</v>
      </c>
      <c r="I17" s="49" t="s">
        <v>23</v>
      </c>
      <c r="J17" s="49" t="s">
        <v>43</v>
      </c>
      <c r="K17" s="49" t="s">
        <v>12</v>
      </c>
      <c r="L17" s="49">
        <v>0</v>
      </c>
      <c r="M17" s="49">
        <v>6</v>
      </c>
      <c r="N17" s="49">
        <v>0</v>
      </c>
      <c r="O17" s="49">
        <v>6</v>
      </c>
    </row>
    <row r="18" spans="1:16" x14ac:dyDescent="0.25">
      <c r="A18" s="1" t="s">
        <v>26</v>
      </c>
      <c r="B18" s="1" t="s">
        <v>198</v>
      </c>
      <c r="C18" s="1" t="s">
        <v>7</v>
      </c>
      <c r="D18" s="2">
        <v>51</v>
      </c>
      <c r="E18" s="53">
        <v>43952</v>
      </c>
      <c r="F18" s="1" t="s">
        <v>163</v>
      </c>
      <c r="I18" s="49" t="s">
        <v>25</v>
      </c>
      <c r="J18" s="49" t="s">
        <v>44</v>
      </c>
      <c r="K18" s="49" t="s">
        <v>12</v>
      </c>
      <c r="L18" s="117">
        <v>0</v>
      </c>
      <c r="M18" s="117">
        <v>4</v>
      </c>
      <c r="N18" s="117">
        <v>0</v>
      </c>
      <c r="O18" s="117">
        <v>4</v>
      </c>
      <c r="P18" s="117"/>
    </row>
    <row r="19" spans="1:16" x14ac:dyDescent="0.4">
      <c r="I19" s="49" t="s">
        <v>26</v>
      </c>
      <c r="J19" s="49" t="s">
        <v>45</v>
      </c>
      <c r="K19" s="49" t="s">
        <v>12</v>
      </c>
      <c r="L19" s="117">
        <v>0</v>
      </c>
      <c r="M19" s="117">
        <v>51</v>
      </c>
      <c r="N19" s="117">
        <v>0</v>
      </c>
      <c r="O19" s="117">
        <v>51</v>
      </c>
      <c r="P19" s="117"/>
    </row>
    <row r="20" spans="1:16" x14ac:dyDescent="0.25">
      <c r="A20" s="52" t="s">
        <v>14</v>
      </c>
      <c r="B20" s="52" t="s">
        <v>159</v>
      </c>
      <c r="C20" s="52" t="s">
        <v>4</v>
      </c>
      <c r="D20" s="52" t="s">
        <v>160</v>
      </c>
      <c r="E20" s="52" t="s">
        <v>161</v>
      </c>
      <c r="F20" s="52" t="s">
        <v>162</v>
      </c>
    </row>
    <row r="21" spans="1:16" x14ac:dyDescent="0.25">
      <c r="A21" s="1" t="s">
        <v>15</v>
      </c>
      <c r="B21" s="1" t="s">
        <v>200</v>
      </c>
      <c r="C21" s="1" t="s">
        <v>5</v>
      </c>
      <c r="D21" s="2">
        <v>196</v>
      </c>
      <c r="E21" s="53">
        <v>43952</v>
      </c>
      <c r="F21" s="1" t="s">
        <v>163</v>
      </c>
      <c r="K21" s="6"/>
    </row>
    <row r="22" spans="1:16" x14ac:dyDescent="0.25">
      <c r="A22" s="1" t="s">
        <v>16</v>
      </c>
      <c r="B22" s="1" t="s">
        <v>201</v>
      </c>
      <c r="C22" s="1" t="s">
        <v>5</v>
      </c>
      <c r="D22" s="2">
        <v>5</v>
      </c>
      <c r="E22" s="53">
        <v>43952</v>
      </c>
      <c r="F22" s="1" t="s">
        <v>163</v>
      </c>
      <c r="K22" s="6"/>
      <c r="P22" s="6"/>
    </row>
    <row r="23" spans="1:16" x14ac:dyDescent="0.25">
      <c r="A23" s="1" t="s">
        <v>17</v>
      </c>
      <c r="B23" s="1" t="s">
        <v>202</v>
      </c>
      <c r="C23" s="1" t="s">
        <v>5</v>
      </c>
      <c r="D23" s="2">
        <v>178</v>
      </c>
      <c r="E23" s="53">
        <v>43952</v>
      </c>
      <c r="F23" s="1" t="s">
        <v>163</v>
      </c>
      <c r="I23" s="7"/>
      <c r="J23" s="59"/>
      <c r="K23" s="68"/>
    </row>
    <row r="24" spans="1:16" x14ac:dyDescent="0.25">
      <c r="A24" s="1" t="s">
        <v>18</v>
      </c>
      <c r="B24" s="1" t="s">
        <v>203</v>
      </c>
      <c r="C24" s="1" t="s">
        <v>5</v>
      </c>
      <c r="D24" s="2">
        <v>21</v>
      </c>
      <c r="E24" s="53">
        <v>43952</v>
      </c>
      <c r="F24" s="1" t="s">
        <v>163</v>
      </c>
      <c r="K24" s="68"/>
    </row>
    <row r="25" spans="1:16" x14ac:dyDescent="0.25">
      <c r="A25" s="1" t="s">
        <v>19</v>
      </c>
      <c r="B25" s="1" t="s">
        <v>164</v>
      </c>
      <c r="C25" s="1" t="s">
        <v>5</v>
      </c>
      <c r="D25" s="2">
        <v>785</v>
      </c>
      <c r="E25" s="53">
        <v>43952</v>
      </c>
      <c r="F25" s="1" t="s">
        <v>163</v>
      </c>
      <c r="K25" s="68"/>
    </row>
    <row r="26" spans="1:16" x14ac:dyDescent="0.25">
      <c r="K26" s="68"/>
    </row>
    <row r="27" spans="1:16" x14ac:dyDescent="0.25">
      <c r="K27" s="68"/>
    </row>
    <row r="28" spans="1:16" x14ac:dyDescent="0.25">
      <c r="K28" s="68"/>
    </row>
    <row r="29" spans="1:16" x14ac:dyDescent="0.25">
      <c r="K29" s="68"/>
    </row>
  </sheetData>
  <phoneticPr fontId="1" type="noConversion"/>
  <pageMargins left="0.7" right="0.7" top="0.75" bottom="0.75" header="0.3" footer="0.3"/>
  <pageSetup paperSize="9" scale="9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pageSetUpPr fitToPage="1"/>
  </sheetPr>
  <dimension ref="A2:H23"/>
  <sheetViews>
    <sheetView topLeftCell="A13" zoomScaleNormal="100" workbookViewId="0">
      <selection activeCell="H13" sqref="H13"/>
    </sheetView>
  </sheetViews>
  <sheetFormatPr defaultColWidth="10" defaultRowHeight="28.5" customHeight="1" x14ac:dyDescent="0.25"/>
  <cols>
    <col min="1" max="2" width="15.59765625" style="29" customWidth="1"/>
    <col min="3" max="3" width="13.3984375" style="29" customWidth="1"/>
    <col min="4" max="6" width="14.8984375" style="29" customWidth="1"/>
    <col min="7" max="7" width="14.8984375" style="66" customWidth="1"/>
    <col min="8" max="8" width="14.8984375" style="37" customWidth="1"/>
    <col min="9" max="16384" width="10" style="29"/>
  </cols>
  <sheetData>
    <row r="2" spans="1:8" ht="28.5" customHeight="1" x14ac:dyDescent="0.25">
      <c r="A2" s="160" t="s">
        <v>105</v>
      </c>
      <c r="B2" s="160"/>
      <c r="C2" s="27" t="str">
        <f>YEAR('발주 복사'!E2) &amp; "   년        " &amp; MONTH('발주 복사'!E2) &amp; "  월       " &amp; DAY('발주 복사'!E2) &amp; "  일     "</f>
        <v xml:space="preserve">2020   년        5  월       1  일     </v>
      </c>
      <c r="D2" s="28"/>
      <c r="E2" s="28"/>
      <c r="F2" s="28"/>
      <c r="G2" s="63"/>
      <c r="H2" s="111"/>
    </row>
    <row r="3" spans="1:8" ht="28.5" customHeight="1" x14ac:dyDescent="0.25">
      <c r="A3" s="160"/>
      <c r="B3" s="160"/>
      <c r="C3" s="160" t="s">
        <v>106</v>
      </c>
      <c r="D3" s="160"/>
      <c r="E3" s="160"/>
      <c r="F3" s="160"/>
      <c r="G3" s="160"/>
      <c r="H3" s="160"/>
    </row>
    <row r="4" spans="1:8" ht="28.5" customHeight="1" x14ac:dyDescent="0.25">
      <c r="A4" s="160"/>
      <c r="B4" s="160"/>
      <c r="C4" s="30" t="s">
        <v>107</v>
      </c>
      <c r="D4" s="30" t="s">
        <v>108</v>
      </c>
      <c r="E4" s="30" t="s">
        <v>109</v>
      </c>
      <c r="F4" s="30" t="s">
        <v>110</v>
      </c>
      <c r="G4" s="64" t="s">
        <v>111</v>
      </c>
      <c r="H4" s="31" t="s">
        <v>112</v>
      </c>
    </row>
    <row r="5" spans="1:8" ht="39.9" customHeight="1" x14ac:dyDescent="0.25">
      <c r="A5" s="160" t="s">
        <v>113</v>
      </c>
      <c r="B5" s="32">
        <v>210</v>
      </c>
      <c r="C5" s="33">
        <v>10</v>
      </c>
      <c r="D5" s="34">
        <f>'발주 계산기'!H2</f>
        <v>95</v>
      </c>
      <c r="E5" s="35" t="s">
        <v>115</v>
      </c>
      <c r="F5" s="35" t="s">
        <v>115</v>
      </c>
      <c r="G5" s="64">
        <f>SUM(D5:F5)</f>
        <v>95</v>
      </c>
      <c r="H5" s="51">
        <f>'발주 계산기'!J2</f>
        <v>0</v>
      </c>
    </row>
    <row r="6" spans="1:8" ht="39.9" customHeight="1" x14ac:dyDescent="0.25">
      <c r="A6" s="160"/>
      <c r="B6" s="32">
        <v>460</v>
      </c>
      <c r="C6" s="33">
        <v>8</v>
      </c>
      <c r="D6" s="34">
        <f>'발주 계산기'!H3</f>
        <v>178</v>
      </c>
      <c r="E6" s="35" t="s">
        <v>115</v>
      </c>
      <c r="F6" s="35" t="s">
        <v>115</v>
      </c>
      <c r="G6" s="64">
        <f t="shared" ref="G6:G22" si="0">SUM(D6:F6)</f>
        <v>178</v>
      </c>
      <c r="H6" s="51">
        <f>'발주 계산기'!J3</f>
        <v>0</v>
      </c>
    </row>
    <row r="7" spans="1:8" ht="39.9" customHeight="1" x14ac:dyDescent="0.25">
      <c r="A7" s="161" t="s">
        <v>121</v>
      </c>
      <c r="B7" s="112" t="s">
        <v>191</v>
      </c>
      <c r="C7" s="112">
        <v>10</v>
      </c>
      <c r="D7" s="34">
        <f>'발주 계산기'!H4</f>
        <v>40</v>
      </c>
      <c r="E7" s="35" t="s">
        <v>115</v>
      </c>
      <c r="F7" s="35" t="s">
        <v>115</v>
      </c>
      <c r="G7" s="64">
        <f>SUM(D7:F7)</f>
        <v>40</v>
      </c>
      <c r="H7" s="51">
        <f>'발주 계산기'!J4</f>
        <v>0</v>
      </c>
    </row>
    <row r="8" spans="1:8" ht="39.9" customHeight="1" x14ac:dyDescent="0.25">
      <c r="A8" s="162"/>
      <c r="B8" s="112" t="s">
        <v>192</v>
      </c>
      <c r="C8" s="112">
        <v>10</v>
      </c>
      <c r="D8" s="34">
        <f>'발주 계산기'!H5</f>
        <v>286</v>
      </c>
      <c r="E8" s="35" t="s">
        <v>115</v>
      </c>
      <c r="F8" s="35" t="s">
        <v>115</v>
      </c>
      <c r="G8" s="64">
        <f t="shared" si="0"/>
        <v>286</v>
      </c>
      <c r="H8" s="51">
        <f>'발주 계산기'!J5</f>
        <v>0</v>
      </c>
    </row>
    <row r="9" spans="1:8" ht="39.9" customHeight="1" x14ac:dyDescent="0.25">
      <c r="A9" s="162"/>
      <c r="B9" s="32">
        <v>340</v>
      </c>
      <c r="C9" s="33">
        <v>6</v>
      </c>
      <c r="D9" s="34">
        <f>'발주 계산기'!H6</f>
        <v>18</v>
      </c>
      <c r="E9" s="35" t="s">
        <v>115</v>
      </c>
      <c r="F9" s="35" t="s">
        <v>115</v>
      </c>
      <c r="G9" s="64">
        <f t="shared" si="0"/>
        <v>18</v>
      </c>
      <c r="H9" s="51">
        <f>'발주 계산기'!J6</f>
        <v>0</v>
      </c>
    </row>
    <row r="10" spans="1:8" ht="39.9" customHeight="1" x14ac:dyDescent="0.25">
      <c r="A10" s="162"/>
      <c r="B10" s="32">
        <v>340</v>
      </c>
      <c r="C10" s="33">
        <v>10</v>
      </c>
      <c r="D10" s="34">
        <f>'발주 계산기'!H7</f>
        <v>36</v>
      </c>
      <c r="E10" s="35" t="s">
        <v>115</v>
      </c>
      <c r="F10" s="35" t="s">
        <v>115</v>
      </c>
      <c r="G10" s="64">
        <f t="shared" si="0"/>
        <v>36</v>
      </c>
      <c r="H10" s="51">
        <f>'발주 계산기'!J7</f>
        <v>0</v>
      </c>
    </row>
    <row r="11" spans="1:8" ht="39.9" customHeight="1" x14ac:dyDescent="0.25">
      <c r="A11" s="163"/>
      <c r="B11" s="32">
        <v>400</v>
      </c>
      <c r="C11" s="33">
        <v>6</v>
      </c>
      <c r="D11" s="34">
        <f>'발주 계산기'!H8</f>
        <v>792</v>
      </c>
      <c r="E11" s="35" t="s">
        <v>115</v>
      </c>
      <c r="F11" s="35" t="s">
        <v>115</v>
      </c>
      <c r="G11" s="64">
        <f t="shared" si="0"/>
        <v>792</v>
      </c>
      <c r="H11" s="51">
        <f>'발주 계산기'!J8</f>
        <v>0</v>
      </c>
    </row>
    <row r="12" spans="1:8" ht="39.9" customHeight="1" x14ac:dyDescent="0.25">
      <c r="A12" s="164" t="s">
        <v>125</v>
      </c>
      <c r="B12" s="32">
        <v>340</v>
      </c>
      <c r="C12" s="33">
        <v>10</v>
      </c>
      <c r="D12" s="34">
        <f>'발주 계산기'!H9</f>
        <v>23</v>
      </c>
      <c r="E12" s="35" t="s">
        <v>115</v>
      </c>
      <c r="F12" s="35" t="s">
        <v>115</v>
      </c>
      <c r="G12" s="64">
        <f t="shared" si="0"/>
        <v>23</v>
      </c>
      <c r="H12" s="51">
        <f>'발주 계산기'!J9</f>
        <v>0</v>
      </c>
    </row>
    <row r="13" spans="1:8" ht="39.9" customHeight="1" x14ac:dyDescent="0.25">
      <c r="A13" s="165"/>
      <c r="B13" s="32">
        <v>400</v>
      </c>
      <c r="C13" s="33">
        <v>10</v>
      </c>
      <c r="D13" s="34">
        <f>'발주 계산기'!H10</f>
        <v>10</v>
      </c>
      <c r="E13" s="35" t="s">
        <v>115</v>
      </c>
      <c r="F13" s="35" t="s">
        <v>115</v>
      </c>
      <c r="G13" s="64">
        <f t="shared" si="0"/>
        <v>10</v>
      </c>
      <c r="H13" s="51">
        <f>'발주 계산기'!J10</f>
        <v>0</v>
      </c>
    </row>
    <row r="14" spans="1:8" ht="39.9" customHeight="1" x14ac:dyDescent="0.25">
      <c r="A14" s="113" t="s">
        <v>128</v>
      </c>
      <c r="B14" s="32">
        <v>350</v>
      </c>
      <c r="C14" s="33">
        <v>10</v>
      </c>
      <c r="D14" s="34">
        <f>'발주 계산기'!H11</f>
        <v>0</v>
      </c>
      <c r="E14" s="35" t="s">
        <v>115</v>
      </c>
      <c r="F14" s="35" t="s">
        <v>115</v>
      </c>
      <c r="G14" s="64">
        <f>SUM(D14:F14)</f>
        <v>0</v>
      </c>
      <c r="H14" s="51">
        <f>'발주 계산기'!J11</f>
        <v>0</v>
      </c>
    </row>
    <row r="15" spans="1:8" ht="39.9" customHeight="1" x14ac:dyDescent="0.25">
      <c r="A15" s="161" t="s">
        <v>117</v>
      </c>
      <c r="B15" s="32">
        <v>230</v>
      </c>
      <c r="C15" s="33">
        <v>10</v>
      </c>
      <c r="D15" s="34">
        <f>'발주 계산기'!H12</f>
        <v>209</v>
      </c>
      <c r="E15" s="35" t="s">
        <v>115</v>
      </c>
      <c r="F15" s="35" t="s">
        <v>115</v>
      </c>
      <c r="G15" s="64">
        <f>SUM(D15:F15)</f>
        <v>209</v>
      </c>
      <c r="H15" s="51">
        <f>'발주 계산기'!J12</f>
        <v>0</v>
      </c>
    </row>
    <row r="16" spans="1:8" ht="39.9" customHeight="1" x14ac:dyDescent="0.25">
      <c r="A16" s="162"/>
      <c r="B16" s="32">
        <v>330</v>
      </c>
      <c r="C16" s="33">
        <v>10</v>
      </c>
      <c r="D16" s="34">
        <f>'발주 계산기'!H13</f>
        <v>0</v>
      </c>
      <c r="E16" s="35" t="s">
        <v>115</v>
      </c>
      <c r="F16" s="35" t="s">
        <v>115</v>
      </c>
      <c r="G16" s="64">
        <f t="shared" si="0"/>
        <v>0</v>
      </c>
      <c r="H16" s="51">
        <f>'발주 계산기'!J13</f>
        <v>0</v>
      </c>
    </row>
    <row r="17" spans="1:8" ht="39.9" customHeight="1" x14ac:dyDescent="0.25">
      <c r="A17" s="163"/>
      <c r="B17" s="32">
        <v>400</v>
      </c>
      <c r="C17" s="33">
        <v>8</v>
      </c>
      <c r="D17" s="34">
        <f>'발주 계산기'!H14</f>
        <v>5</v>
      </c>
      <c r="E17" s="35" t="s">
        <v>115</v>
      </c>
      <c r="F17" s="35" t="s">
        <v>115</v>
      </c>
      <c r="G17" s="64">
        <f t="shared" si="0"/>
        <v>5</v>
      </c>
      <c r="H17" s="51">
        <f>'발주 계산기'!J14</f>
        <v>0</v>
      </c>
    </row>
    <row r="18" spans="1:8" ht="39.9" customHeight="1" x14ac:dyDescent="0.25">
      <c r="A18" s="113" t="s">
        <v>130</v>
      </c>
      <c r="B18" s="32">
        <v>200</v>
      </c>
      <c r="C18" s="33">
        <v>10</v>
      </c>
      <c r="D18" s="34">
        <f>'발주 계산기'!H15</f>
        <v>262</v>
      </c>
      <c r="E18" s="35" t="s">
        <v>115</v>
      </c>
      <c r="F18" s="35" t="s">
        <v>115</v>
      </c>
      <c r="G18" s="64">
        <f>SUM(D18:F18)</f>
        <v>262</v>
      </c>
      <c r="H18" s="51">
        <f>'발주 계산기'!J15</f>
        <v>0</v>
      </c>
    </row>
    <row r="19" spans="1:8" ht="39.9" customHeight="1" x14ac:dyDescent="0.25">
      <c r="A19" s="112" t="s">
        <v>123</v>
      </c>
      <c r="B19" s="32">
        <v>1000</v>
      </c>
      <c r="C19" s="33">
        <v>3</v>
      </c>
      <c r="D19" s="34">
        <f>'발주 계산기'!H16</f>
        <v>5</v>
      </c>
      <c r="E19" s="35"/>
      <c r="F19" s="35"/>
      <c r="G19" s="64">
        <f>SUM(D19:F19)</f>
        <v>5</v>
      </c>
      <c r="H19" s="51">
        <f>'발주 계산기'!J16</f>
        <v>0</v>
      </c>
    </row>
    <row r="20" spans="1:8" ht="39.9" customHeight="1" x14ac:dyDescent="0.25">
      <c r="A20" s="161" t="s">
        <v>197</v>
      </c>
      <c r="B20" s="32">
        <v>400</v>
      </c>
      <c r="C20" s="33">
        <v>10</v>
      </c>
      <c r="D20" s="34">
        <f>'발주 계산기'!H17</f>
        <v>1</v>
      </c>
      <c r="E20" s="35" t="s">
        <v>115</v>
      </c>
      <c r="F20" s="35" t="s">
        <v>115</v>
      </c>
      <c r="G20" s="64">
        <f t="shared" si="0"/>
        <v>1</v>
      </c>
      <c r="H20" s="51">
        <f>'발주 계산기'!J17</f>
        <v>0</v>
      </c>
    </row>
    <row r="21" spans="1:8" ht="39.9" customHeight="1" x14ac:dyDescent="0.25">
      <c r="A21" s="163"/>
      <c r="B21" s="32">
        <v>800</v>
      </c>
      <c r="C21" s="33">
        <v>3</v>
      </c>
      <c r="D21" s="34">
        <f>'발주 계산기'!H18</f>
        <v>2</v>
      </c>
      <c r="E21" s="35" t="s">
        <v>115</v>
      </c>
      <c r="F21" s="35" t="s">
        <v>115</v>
      </c>
      <c r="G21" s="64">
        <f t="shared" si="0"/>
        <v>2</v>
      </c>
      <c r="H21" s="51">
        <f>'발주 계산기'!J18</f>
        <v>0</v>
      </c>
    </row>
    <row r="22" spans="1:8" ht="39.9" customHeight="1" x14ac:dyDescent="0.25">
      <c r="A22" s="113" t="s">
        <v>196</v>
      </c>
      <c r="B22" s="32">
        <v>1000</v>
      </c>
      <c r="C22" s="33">
        <v>3</v>
      </c>
      <c r="D22" s="34">
        <f>'발주 계산기'!H19</f>
        <v>17</v>
      </c>
      <c r="E22" s="35" t="s">
        <v>115</v>
      </c>
      <c r="F22" s="35" t="s">
        <v>115</v>
      </c>
      <c r="G22" s="64">
        <f t="shared" si="0"/>
        <v>17</v>
      </c>
      <c r="H22" s="51">
        <f>'발주 계산기'!J19</f>
        <v>0</v>
      </c>
    </row>
    <row r="23" spans="1:8" ht="28.5" customHeight="1" x14ac:dyDescent="0.25">
      <c r="A23" s="160" t="s">
        <v>132</v>
      </c>
      <c r="B23" s="160"/>
      <c r="C23" s="30"/>
      <c r="D23" s="58">
        <f>SUM(D5:D22)</f>
        <v>1979</v>
      </c>
      <c r="E23" s="36" t="s">
        <v>115</v>
      </c>
      <c r="F23" s="36" t="s">
        <v>115</v>
      </c>
      <c r="G23" s="65">
        <f>SUM(G5:G22)</f>
        <v>1979</v>
      </c>
      <c r="H23" s="31"/>
    </row>
  </sheetData>
  <mergeCells count="8">
    <mergeCell ref="A23:B23"/>
    <mergeCell ref="A2:B4"/>
    <mergeCell ref="C3:H3"/>
    <mergeCell ref="A5:A6"/>
    <mergeCell ref="A7:A11"/>
    <mergeCell ref="A12:A13"/>
    <mergeCell ref="A15:A17"/>
    <mergeCell ref="A20:A21"/>
  </mergeCells>
  <phoneticPr fontId="1" type="noConversion"/>
  <printOptions horizontalCentered="1" verticalCentered="1"/>
  <pageMargins left="0.27559055118110237" right="0.23622047244094491" top="0.70866141732283472" bottom="0.59055118110236227" header="0.51181102362204722" footer="0.51181102362204722"/>
  <pageSetup paperSize="9" scale="76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20"/>
  <sheetViews>
    <sheetView workbookViewId="0">
      <selection activeCell="F1" sqref="F1:F1048576"/>
    </sheetView>
  </sheetViews>
  <sheetFormatPr defaultRowHeight="17.399999999999999" x14ac:dyDescent="0.4"/>
  <cols>
    <col min="1" max="1" width="8.5" style="13" bestFit="1" customWidth="1"/>
    <col min="2" max="2" width="16.09765625" style="13" customWidth="1"/>
    <col min="3" max="3" width="34.69921875" bestFit="1" customWidth="1"/>
    <col min="4" max="4" width="6.59765625" bestFit="1" customWidth="1"/>
    <col min="5" max="5" width="8.5" bestFit="1" customWidth="1"/>
    <col min="6" max="6" width="8.59765625" style="8"/>
    <col min="9" max="9" width="11.19921875" customWidth="1"/>
  </cols>
  <sheetData>
    <row r="1" spans="1:10" s="3" customFormat="1" x14ac:dyDescent="0.4">
      <c r="A1" s="19" t="s">
        <v>14</v>
      </c>
      <c r="B1" s="19" t="s">
        <v>48</v>
      </c>
      <c r="C1" s="20" t="s">
        <v>32</v>
      </c>
      <c r="D1" s="20" t="s">
        <v>31</v>
      </c>
      <c r="E1" s="20" t="s">
        <v>4</v>
      </c>
      <c r="F1" s="56" t="s">
        <v>69</v>
      </c>
      <c r="G1" s="20"/>
      <c r="H1" s="20"/>
      <c r="I1" s="21" t="s">
        <v>70</v>
      </c>
      <c r="J1" s="22" t="s">
        <v>71</v>
      </c>
    </row>
    <row r="2" spans="1:10" x14ac:dyDescent="0.4">
      <c r="A2" s="23" t="s">
        <v>30</v>
      </c>
      <c r="B2" s="24" t="s">
        <v>71</v>
      </c>
      <c r="C2" s="23" t="s">
        <v>104</v>
      </c>
      <c r="D2" s="23">
        <v>10</v>
      </c>
      <c r="E2" s="23" t="s">
        <v>5</v>
      </c>
      <c r="F2" s="57">
        <v>468</v>
      </c>
      <c r="G2" s="23"/>
      <c r="H2" s="23"/>
      <c r="I2" s="21" t="s">
        <v>72</v>
      </c>
      <c r="J2" s="22" t="s">
        <v>73</v>
      </c>
    </row>
    <row r="3" spans="1:10" x14ac:dyDescent="0.4">
      <c r="A3" s="23" t="s">
        <v>17</v>
      </c>
      <c r="B3" s="24" t="s">
        <v>73</v>
      </c>
      <c r="C3" s="23" t="s">
        <v>74</v>
      </c>
      <c r="D3" s="23">
        <v>8</v>
      </c>
      <c r="E3" s="23" t="s">
        <v>5</v>
      </c>
      <c r="F3" s="57">
        <v>678</v>
      </c>
      <c r="G3" s="23"/>
      <c r="H3" s="23"/>
      <c r="I3" s="23"/>
      <c r="J3" s="23"/>
    </row>
    <row r="4" spans="1:10" x14ac:dyDescent="0.3">
      <c r="A4" s="26" t="s">
        <v>185</v>
      </c>
      <c r="B4" s="114" t="s">
        <v>190</v>
      </c>
      <c r="C4" s="26" t="s">
        <v>186</v>
      </c>
      <c r="D4" s="115">
        <v>10</v>
      </c>
      <c r="E4" s="26" t="s">
        <v>5</v>
      </c>
      <c r="F4" s="116">
        <v>492</v>
      </c>
      <c r="G4" s="23"/>
      <c r="H4" s="23"/>
      <c r="I4" s="23"/>
      <c r="J4" s="23"/>
    </row>
    <row r="5" spans="1:10" x14ac:dyDescent="0.3">
      <c r="A5" s="26" t="s">
        <v>187</v>
      </c>
      <c r="B5" s="114" t="s">
        <v>189</v>
      </c>
      <c r="C5" s="26" t="s">
        <v>188</v>
      </c>
      <c r="D5" s="115">
        <v>10</v>
      </c>
      <c r="E5" s="26" t="s">
        <v>5</v>
      </c>
      <c r="F5" s="57">
        <v>492</v>
      </c>
      <c r="G5" s="23"/>
      <c r="H5" s="23"/>
      <c r="I5" s="23"/>
      <c r="J5" s="23"/>
    </row>
    <row r="6" spans="1:10" x14ac:dyDescent="0.4">
      <c r="A6" s="23" t="s">
        <v>29</v>
      </c>
      <c r="B6" s="24" t="s">
        <v>80</v>
      </c>
      <c r="C6" s="23" t="s">
        <v>81</v>
      </c>
      <c r="D6" s="23">
        <v>6</v>
      </c>
      <c r="E6" s="23" t="s">
        <v>5</v>
      </c>
      <c r="F6" s="57">
        <v>659</v>
      </c>
      <c r="G6" s="23"/>
      <c r="H6" s="23"/>
      <c r="I6" s="23"/>
      <c r="J6" s="23"/>
    </row>
    <row r="7" spans="1:10" x14ac:dyDescent="0.4">
      <c r="A7" s="23" t="s">
        <v>27</v>
      </c>
      <c r="B7" s="24" t="s">
        <v>82</v>
      </c>
      <c r="C7" s="23" t="s">
        <v>83</v>
      </c>
      <c r="D7" s="23">
        <v>10</v>
      </c>
      <c r="E7" s="23" t="s">
        <v>5</v>
      </c>
      <c r="F7" s="57">
        <v>659</v>
      </c>
      <c r="G7" s="23"/>
      <c r="H7" s="23"/>
      <c r="I7" s="23"/>
      <c r="J7" s="23"/>
    </row>
    <row r="8" spans="1:10" x14ac:dyDescent="0.4">
      <c r="A8" s="23" t="s">
        <v>19</v>
      </c>
      <c r="B8" s="24" t="s">
        <v>84</v>
      </c>
      <c r="C8" s="23" t="s">
        <v>85</v>
      </c>
      <c r="D8" s="23">
        <v>6</v>
      </c>
      <c r="E8" s="23" t="s">
        <v>5</v>
      </c>
      <c r="F8" s="57">
        <v>713</v>
      </c>
      <c r="G8" s="23"/>
      <c r="H8" s="23"/>
      <c r="I8" s="23"/>
      <c r="J8" s="23"/>
    </row>
    <row r="9" spans="1:10" x14ac:dyDescent="0.4">
      <c r="A9" s="23" t="s">
        <v>28</v>
      </c>
      <c r="B9" s="24" t="s">
        <v>88</v>
      </c>
      <c r="C9" s="23" t="s">
        <v>89</v>
      </c>
      <c r="D9" s="23">
        <v>10</v>
      </c>
      <c r="E9" s="23" t="s">
        <v>5</v>
      </c>
      <c r="F9" s="57">
        <v>659</v>
      </c>
      <c r="G9" s="23"/>
      <c r="H9" s="23"/>
      <c r="I9" s="23"/>
      <c r="J9" s="23"/>
    </row>
    <row r="10" spans="1:10" x14ac:dyDescent="0.4">
      <c r="A10" s="23" t="s">
        <v>16</v>
      </c>
      <c r="B10" s="24" t="s">
        <v>90</v>
      </c>
      <c r="C10" s="23" t="s">
        <v>91</v>
      </c>
      <c r="D10" s="23">
        <v>10</v>
      </c>
      <c r="E10" s="23" t="s">
        <v>5</v>
      </c>
      <c r="F10" s="57">
        <v>713</v>
      </c>
      <c r="G10" s="23"/>
      <c r="H10" s="23"/>
      <c r="I10" s="23"/>
      <c r="J10" s="23"/>
    </row>
    <row r="11" spans="1:10" x14ac:dyDescent="0.4">
      <c r="A11" s="23" t="s">
        <v>20</v>
      </c>
      <c r="B11" s="24" t="s">
        <v>100</v>
      </c>
      <c r="C11" s="23" t="s">
        <v>101</v>
      </c>
      <c r="D11" s="23">
        <v>10</v>
      </c>
      <c r="E11" s="23" t="s">
        <v>5</v>
      </c>
      <c r="F11" s="57">
        <v>432</v>
      </c>
      <c r="G11" s="23"/>
      <c r="H11" s="23"/>
      <c r="I11" s="23"/>
      <c r="J11" s="23"/>
    </row>
    <row r="12" spans="1:10" x14ac:dyDescent="0.4">
      <c r="A12" s="23" t="s">
        <v>15</v>
      </c>
      <c r="B12" s="24" t="s">
        <v>75</v>
      </c>
      <c r="C12" s="23" t="s">
        <v>76</v>
      </c>
      <c r="D12" s="23">
        <v>10</v>
      </c>
      <c r="E12" s="23" t="s">
        <v>5</v>
      </c>
      <c r="F12" s="57">
        <v>681</v>
      </c>
      <c r="G12" s="23"/>
      <c r="H12" s="23"/>
      <c r="I12" s="23"/>
      <c r="J12" s="23"/>
    </row>
    <row r="13" spans="1:10" x14ac:dyDescent="0.4">
      <c r="A13" s="23" t="s">
        <v>21</v>
      </c>
      <c r="B13" s="24" t="s">
        <v>194</v>
      </c>
      <c r="C13" s="23" t="s">
        <v>77</v>
      </c>
      <c r="D13" s="23">
        <v>10</v>
      </c>
      <c r="E13" s="23" t="s">
        <v>5</v>
      </c>
      <c r="F13" s="57">
        <v>842</v>
      </c>
      <c r="G13" s="23"/>
      <c r="H13" s="23"/>
      <c r="I13" s="23"/>
    </row>
    <row r="14" spans="1:10" x14ac:dyDescent="0.3">
      <c r="A14" s="25" t="s">
        <v>33</v>
      </c>
      <c r="B14" s="24" t="s">
        <v>78</v>
      </c>
      <c r="C14" s="26" t="s">
        <v>34</v>
      </c>
      <c r="D14" s="23">
        <v>8</v>
      </c>
      <c r="E14" s="23" t="s">
        <v>79</v>
      </c>
      <c r="F14" s="57">
        <v>969</v>
      </c>
      <c r="G14" s="23"/>
      <c r="H14" s="23"/>
      <c r="I14" s="23"/>
    </row>
    <row r="15" spans="1:10" x14ac:dyDescent="0.4">
      <c r="A15" s="23" t="s">
        <v>18</v>
      </c>
      <c r="B15" s="24" t="s">
        <v>102</v>
      </c>
      <c r="C15" s="23" t="s">
        <v>103</v>
      </c>
      <c r="D15" s="23">
        <v>10</v>
      </c>
      <c r="E15" s="23" t="s">
        <v>5</v>
      </c>
      <c r="F15" s="57">
        <v>432</v>
      </c>
      <c r="G15" s="23"/>
      <c r="H15" s="23"/>
      <c r="I15" s="23"/>
    </row>
    <row r="16" spans="1:10" x14ac:dyDescent="0.4">
      <c r="A16" s="23" t="s">
        <v>22</v>
      </c>
      <c r="B16" s="24" t="s">
        <v>86</v>
      </c>
      <c r="C16" s="23" t="s">
        <v>87</v>
      </c>
      <c r="D16" s="23">
        <v>3</v>
      </c>
      <c r="E16" s="23" t="s">
        <v>7</v>
      </c>
      <c r="F16" s="57">
        <v>1504</v>
      </c>
      <c r="G16" s="23"/>
      <c r="H16" s="23"/>
      <c r="I16" s="23"/>
    </row>
    <row r="17" spans="1:9" x14ac:dyDescent="0.4">
      <c r="A17" s="23" t="s">
        <v>23</v>
      </c>
      <c r="B17" s="24" t="s">
        <v>92</v>
      </c>
      <c r="C17" s="23" t="s">
        <v>93</v>
      </c>
      <c r="D17" s="23">
        <v>10</v>
      </c>
      <c r="E17" s="23" t="s">
        <v>7</v>
      </c>
      <c r="F17" s="57">
        <v>504</v>
      </c>
      <c r="G17" s="23"/>
      <c r="H17" s="23"/>
      <c r="I17" s="23"/>
    </row>
    <row r="18" spans="1:9" x14ac:dyDescent="0.4">
      <c r="A18" s="23" t="s">
        <v>25</v>
      </c>
      <c r="B18" s="24" t="s">
        <v>94</v>
      </c>
      <c r="C18" s="23" t="s">
        <v>95</v>
      </c>
      <c r="D18" s="23">
        <v>3</v>
      </c>
      <c r="E18" s="23" t="s">
        <v>7</v>
      </c>
      <c r="F18" s="57">
        <v>650</v>
      </c>
      <c r="G18" s="23"/>
      <c r="H18" s="23"/>
      <c r="I18" s="23"/>
    </row>
    <row r="19" spans="1:9" x14ac:dyDescent="0.4">
      <c r="A19" s="23" t="s">
        <v>26</v>
      </c>
      <c r="B19" s="24" t="s">
        <v>98</v>
      </c>
      <c r="C19" s="23" t="s">
        <v>99</v>
      </c>
      <c r="D19" s="23">
        <v>3</v>
      </c>
      <c r="E19" s="23" t="s">
        <v>7</v>
      </c>
      <c r="F19" s="57">
        <v>955</v>
      </c>
    </row>
    <row r="20" spans="1:9" x14ac:dyDescent="0.4">
      <c r="A20" s="23" t="s">
        <v>24</v>
      </c>
      <c r="B20" s="24" t="s">
        <v>96</v>
      </c>
      <c r="C20" s="23" t="s">
        <v>97</v>
      </c>
      <c r="D20" s="23">
        <v>3</v>
      </c>
      <c r="E20" s="23" t="s">
        <v>7</v>
      </c>
      <c r="F20" s="57">
        <v>700</v>
      </c>
      <c r="G20" s="11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29"/>
  <sheetViews>
    <sheetView zoomScaleNormal="100" workbookViewId="0">
      <selection activeCell="H22" sqref="H22"/>
    </sheetView>
  </sheetViews>
  <sheetFormatPr defaultColWidth="20.09765625" defaultRowHeight="19.2" x14ac:dyDescent="0.4"/>
  <cols>
    <col min="1" max="6" width="19.59765625" style="38" customWidth="1"/>
    <col min="7" max="16384" width="20.09765625" style="38"/>
  </cols>
  <sheetData>
    <row r="1" spans="1:6" ht="57.75" customHeight="1" x14ac:dyDescent="0.4">
      <c r="A1" s="177" t="s">
        <v>133</v>
      </c>
      <c r="B1" s="178"/>
      <c r="C1" s="178"/>
      <c r="D1" s="178"/>
      <c r="E1" s="178"/>
      <c r="F1" s="179"/>
    </row>
    <row r="2" spans="1:6" s="42" customFormat="1" ht="26.25" customHeight="1" x14ac:dyDescent="0.4">
      <c r="A2" s="39" t="s">
        <v>134</v>
      </c>
      <c r="B2" s="70" t="str">
        <f>"    " &amp; YEAR('발주 복사'!E2) &amp; "년   " &amp; MONTH('발주 복사'!E2) &amp; " 월   " &amp; DAY('발주 복사'!E2) &amp; " 일    " &amp; TEXT('발주 복사'!E2, "aaaa")</f>
        <v xml:space="preserve">    2020년   5 월   1 일    금요일</v>
      </c>
      <c r="C2" s="70"/>
      <c r="D2" s="40"/>
      <c r="E2" s="40"/>
      <c r="F2" s="41"/>
    </row>
    <row r="3" spans="1:6" s="42" customFormat="1" ht="26.25" customHeight="1" x14ac:dyDescent="0.4">
      <c r="A3" s="180" t="s">
        <v>135</v>
      </c>
      <c r="B3" s="160"/>
      <c r="C3" s="160"/>
      <c r="D3" s="160" t="s">
        <v>136</v>
      </c>
      <c r="E3" s="160"/>
      <c r="F3" s="181" t="s">
        <v>137</v>
      </c>
    </row>
    <row r="4" spans="1:6" s="42" customFormat="1" ht="26.25" customHeight="1" x14ac:dyDescent="0.4">
      <c r="A4" s="118" t="s">
        <v>138</v>
      </c>
      <c r="B4" s="112" t="s">
        <v>139</v>
      </c>
      <c r="C4" s="112" t="s">
        <v>107</v>
      </c>
      <c r="D4" s="112" t="s">
        <v>140</v>
      </c>
      <c r="E4" s="112" t="s">
        <v>141</v>
      </c>
      <c r="F4" s="182"/>
    </row>
    <row r="5" spans="1:6" s="42" customFormat="1" ht="39.9" customHeight="1" x14ac:dyDescent="0.4">
      <c r="A5" s="175" t="s">
        <v>113</v>
      </c>
      <c r="B5" s="119">
        <v>210</v>
      </c>
      <c r="C5" s="120">
        <v>10</v>
      </c>
      <c r="D5" s="121">
        <f>'발주 계산기'!H2</f>
        <v>95</v>
      </c>
      <c r="E5" s="121">
        <f>'발주 계산기'!I2</f>
        <v>950</v>
      </c>
      <c r="F5" s="122">
        <f>(B5+15)*E5/1000</f>
        <v>213.75</v>
      </c>
    </row>
    <row r="6" spans="1:6" s="42" customFormat="1" ht="39.9" customHeight="1" x14ac:dyDescent="0.4">
      <c r="A6" s="176"/>
      <c r="B6" s="123">
        <v>460</v>
      </c>
      <c r="C6" s="124">
        <v>8</v>
      </c>
      <c r="D6" s="125">
        <f>'발주 계산기'!H3</f>
        <v>178</v>
      </c>
      <c r="E6" s="125">
        <f>'발주 계산기'!I3</f>
        <v>1424</v>
      </c>
      <c r="F6" s="126">
        <f t="shared" ref="F6" si="0">(B6+15)*E6/1000</f>
        <v>676.4</v>
      </c>
    </row>
    <row r="7" spans="1:6" s="42" customFormat="1" ht="39.9" customHeight="1" x14ac:dyDescent="0.4">
      <c r="A7" s="183" t="s">
        <v>143</v>
      </c>
      <c r="B7" s="128">
        <v>200</v>
      </c>
      <c r="C7" s="128">
        <v>10</v>
      </c>
      <c r="D7" s="125">
        <f>'발주 계산기'!H4</f>
        <v>40</v>
      </c>
      <c r="E7" s="125">
        <f>'발주 계산기'!I4</f>
        <v>400</v>
      </c>
      <c r="F7" s="126">
        <f t="shared" ref="F7:F22" si="1">(B7+15)*E7/1000</f>
        <v>86</v>
      </c>
    </row>
    <row r="8" spans="1:6" s="42" customFormat="1" ht="39.9" customHeight="1" x14ac:dyDescent="0.4">
      <c r="A8" s="184"/>
      <c r="B8" s="129">
        <v>200</v>
      </c>
      <c r="C8" s="128">
        <v>10</v>
      </c>
      <c r="D8" s="125">
        <f>'발주 계산기'!H5</f>
        <v>286</v>
      </c>
      <c r="E8" s="125">
        <f>'발주 계산기'!I5</f>
        <v>2860</v>
      </c>
      <c r="F8" s="126">
        <f t="shared" si="1"/>
        <v>614.9</v>
      </c>
    </row>
    <row r="9" spans="1:6" s="42" customFormat="1" ht="39.9" customHeight="1" x14ac:dyDescent="0.4">
      <c r="A9" s="184"/>
      <c r="B9" s="123">
        <v>340</v>
      </c>
      <c r="C9" s="124">
        <v>6</v>
      </c>
      <c r="D9" s="125">
        <f>'발주 계산기'!H6</f>
        <v>18</v>
      </c>
      <c r="E9" s="125">
        <f>'발주 계산기'!I6</f>
        <v>108</v>
      </c>
      <c r="F9" s="126">
        <f t="shared" si="1"/>
        <v>38.340000000000003</v>
      </c>
    </row>
    <row r="10" spans="1:6" s="42" customFormat="1" ht="39.9" customHeight="1" x14ac:dyDescent="0.4">
      <c r="A10" s="184"/>
      <c r="B10" s="123">
        <v>340</v>
      </c>
      <c r="C10" s="124">
        <v>10</v>
      </c>
      <c r="D10" s="125">
        <f>'발주 계산기'!H7</f>
        <v>36</v>
      </c>
      <c r="E10" s="125">
        <f>'발주 계산기'!I7</f>
        <v>360</v>
      </c>
      <c r="F10" s="126">
        <f t="shared" si="1"/>
        <v>127.8</v>
      </c>
    </row>
    <row r="11" spans="1:6" s="42" customFormat="1" ht="39.9" customHeight="1" x14ac:dyDescent="0.4">
      <c r="A11" s="185"/>
      <c r="B11" s="123">
        <v>400</v>
      </c>
      <c r="C11" s="124">
        <v>6</v>
      </c>
      <c r="D11" s="125">
        <f>'발주 계산기'!H8</f>
        <v>792</v>
      </c>
      <c r="E11" s="125">
        <f>'발주 계산기'!I8</f>
        <v>4752</v>
      </c>
      <c r="F11" s="126">
        <f t="shared" si="1"/>
        <v>1972.08</v>
      </c>
    </row>
    <row r="12" spans="1:6" s="42" customFormat="1" ht="39.9" customHeight="1" x14ac:dyDescent="0.4">
      <c r="A12" s="186" t="s">
        <v>145</v>
      </c>
      <c r="B12" s="123">
        <v>340</v>
      </c>
      <c r="C12" s="124">
        <v>10</v>
      </c>
      <c r="D12" s="125">
        <f>'발주 계산기'!H9</f>
        <v>23</v>
      </c>
      <c r="E12" s="125">
        <f>'발주 계산기'!I9</f>
        <v>230</v>
      </c>
      <c r="F12" s="126">
        <f t="shared" si="1"/>
        <v>81.650000000000006</v>
      </c>
    </row>
    <row r="13" spans="1:6" s="42" customFormat="1" ht="39.9" customHeight="1" x14ac:dyDescent="0.4">
      <c r="A13" s="187"/>
      <c r="B13" s="123">
        <v>400</v>
      </c>
      <c r="C13" s="124">
        <v>10</v>
      </c>
      <c r="D13" s="125">
        <f>'발주 계산기'!H10</f>
        <v>10</v>
      </c>
      <c r="E13" s="125">
        <f>'발주 계산기'!I10</f>
        <v>100</v>
      </c>
      <c r="F13" s="126">
        <f t="shared" si="1"/>
        <v>41.5</v>
      </c>
    </row>
    <row r="14" spans="1:6" s="42" customFormat="1" ht="39.9" customHeight="1" x14ac:dyDescent="0.4">
      <c r="A14" s="127" t="s">
        <v>146</v>
      </c>
      <c r="B14" s="123">
        <v>350</v>
      </c>
      <c r="C14" s="124">
        <v>10</v>
      </c>
      <c r="D14" s="125">
        <f>'발주 계산기'!H11</f>
        <v>0</v>
      </c>
      <c r="E14" s="125">
        <f>'발주 계산기'!I11</f>
        <v>0</v>
      </c>
      <c r="F14" s="126">
        <f t="shared" si="1"/>
        <v>0</v>
      </c>
    </row>
    <row r="15" spans="1:6" s="42" customFormat="1" ht="39.9" customHeight="1" x14ac:dyDescent="0.4">
      <c r="A15" s="183" t="s">
        <v>142</v>
      </c>
      <c r="B15" s="123">
        <v>230</v>
      </c>
      <c r="C15" s="124">
        <v>10</v>
      </c>
      <c r="D15" s="125">
        <f>'발주 계산기'!H12</f>
        <v>209</v>
      </c>
      <c r="E15" s="125">
        <f>'발주 계산기'!I12</f>
        <v>2090</v>
      </c>
      <c r="F15" s="126">
        <f t="shared" si="1"/>
        <v>512.04999999999995</v>
      </c>
    </row>
    <row r="16" spans="1:6" s="42" customFormat="1" ht="39.9" customHeight="1" x14ac:dyDescent="0.4">
      <c r="A16" s="184"/>
      <c r="B16" s="123">
        <v>330</v>
      </c>
      <c r="C16" s="124">
        <v>10</v>
      </c>
      <c r="D16" s="125">
        <f>'발주 계산기'!H13</f>
        <v>0</v>
      </c>
      <c r="E16" s="125">
        <f>'발주 계산기'!I13</f>
        <v>0</v>
      </c>
      <c r="F16" s="126">
        <f t="shared" si="1"/>
        <v>0</v>
      </c>
    </row>
    <row r="17" spans="1:7" s="42" customFormat="1" ht="39.9" customHeight="1" x14ac:dyDescent="0.4">
      <c r="A17" s="185"/>
      <c r="B17" s="123">
        <v>400</v>
      </c>
      <c r="C17" s="124">
        <v>8</v>
      </c>
      <c r="D17" s="125">
        <f>'발주 계산기'!H14</f>
        <v>5</v>
      </c>
      <c r="E17" s="125">
        <f>'발주 계산기'!I14</f>
        <v>40</v>
      </c>
      <c r="F17" s="126">
        <f t="shared" si="1"/>
        <v>16.600000000000001</v>
      </c>
    </row>
    <row r="18" spans="1:7" s="42" customFormat="1" ht="39.9" customHeight="1" x14ac:dyDescent="0.4">
      <c r="A18" s="127" t="s">
        <v>147</v>
      </c>
      <c r="B18" s="123">
        <v>200</v>
      </c>
      <c r="C18" s="124">
        <v>10</v>
      </c>
      <c r="D18" s="125">
        <f>'발주 계산기'!H15</f>
        <v>262</v>
      </c>
      <c r="E18" s="125">
        <f>'발주 계산기'!I15</f>
        <v>2620</v>
      </c>
      <c r="F18" s="126">
        <f t="shared" si="1"/>
        <v>563.29999999999995</v>
      </c>
    </row>
    <row r="19" spans="1:7" s="42" customFormat="1" ht="39.9" customHeight="1" x14ac:dyDescent="0.4">
      <c r="A19" s="130" t="s">
        <v>144</v>
      </c>
      <c r="B19" s="123">
        <v>1000</v>
      </c>
      <c r="C19" s="124">
        <v>3</v>
      </c>
      <c r="D19" s="125">
        <f>'발주 계산기'!H16</f>
        <v>5</v>
      </c>
      <c r="E19" s="125">
        <f>'발주 계산기'!I16</f>
        <v>15</v>
      </c>
      <c r="F19" s="126">
        <f t="shared" si="1"/>
        <v>15.225</v>
      </c>
    </row>
    <row r="20" spans="1:7" s="42" customFormat="1" ht="39.9" customHeight="1" x14ac:dyDescent="0.4">
      <c r="A20" s="183" t="s">
        <v>197</v>
      </c>
      <c r="B20" s="123">
        <v>400</v>
      </c>
      <c r="C20" s="124">
        <v>10</v>
      </c>
      <c r="D20" s="125">
        <f>'발주 계산기'!H17</f>
        <v>1</v>
      </c>
      <c r="E20" s="125">
        <f>'발주 계산기'!I17</f>
        <v>6</v>
      </c>
      <c r="F20" s="126">
        <f t="shared" si="1"/>
        <v>2.4900000000000002</v>
      </c>
    </row>
    <row r="21" spans="1:7" s="42" customFormat="1" ht="39.9" customHeight="1" x14ac:dyDescent="0.4">
      <c r="A21" s="185"/>
      <c r="B21" s="123">
        <v>800</v>
      </c>
      <c r="C21" s="124">
        <v>3</v>
      </c>
      <c r="D21" s="125">
        <f>'발주 계산기'!H18</f>
        <v>2</v>
      </c>
      <c r="E21" s="125">
        <f>'발주 계산기'!I18</f>
        <v>4</v>
      </c>
      <c r="F21" s="126">
        <f t="shared" si="1"/>
        <v>3.26</v>
      </c>
    </row>
    <row r="22" spans="1:7" s="42" customFormat="1" ht="39.9" customHeight="1" x14ac:dyDescent="0.4">
      <c r="A22" s="131" t="s">
        <v>196</v>
      </c>
      <c r="B22" s="132">
        <v>1000</v>
      </c>
      <c r="C22" s="133">
        <v>3</v>
      </c>
      <c r="D22" s="134">
        <f>'발주 계산기'!H19</f>
        <v>17</v>
      </c>
      <c r="E22" s="134">
        <f>'발주 계산기'!I19</f>
        <v>51</v>
      </c>
      <c r="F22" s="135">
        <f t="shared" si="1"/>
        <v>51.765000000000001</v>
      </c>
    </row>
    <row r="23" spans="1:7" s="42" customFormat="1" ht="26.25" customHeight="1" x14ac:dyDescent="0.4">
      <c r="A23" s="172" t="s">
        <v>111</v>
      </c>
      <c r="B23" s="173"/>
      <c r="C23" s="174"/>
      <c r="D23" s="148">
        <f>SUM(D5:D22)</f>
        <v>1979</v>
      </c>
      <c r="E23" s="150">
        <f>SUM(E5:E22)</f>
        <v>16010</v>
      </c>
      <c r="F23" s="149">
        <f>SUM(F5:F22)</f>
        <v>5017.1100000000006</v>
      </c>
    </row>
    <row r="24" spans="1:7" s="42" customFormat="1" ht="18" customHeight="1" x14ac:dyDescent="0.4">
      <c r="A24" s="188" t="s">
        <v>148</v>
      </c>
      <c r="B24" s="166"/>
      <c r="C24" s="166"/>
      <c r="D24" s="166"/>
      <c r="E24" s="43" t="s">
        <v>149</v>
      </c>
      <c r="F24" s="44">
        <f>SUM(F5:F6)</f>
        <v>890.15</v>
      </c>
    </row>
    <row r="25" spans="1:7" s="42" customFormat="1" ht="18" customHeight="1" x14ac:dyDescent="0.4">
      <c r="A25" s="189"/>
      <c r="B25" s="167"/>
      <c r="C25" s="167"/>
      <c r="D25" s="167"/>
      <c r="E25" s="45" t="s">
        <v>152</v>
      </c>
      <c r="F25" s="46">
        <f>SUM(F14,F20,F21)</f>
        <v>5.75</v>
      </c>
    </row>
    <row r="26" spans="1:7" s="42" customFormat="1" ht="18" customHeight="1" x14ac:dyDescent="0.4">
      <c r="A26" s="190"/>
      <c r="B26" s="168"/>
      <c r="C26" s="168"/>
      <c r="D26" s="168"/>
      <c r="E26" s="45" t="s">
        <v>151</v>
      </c>
      <c r="F26" s="46">
        <f>SUM(F7:F13,F19)</f>
        <v>2977.4949999999999</v>
      </c>
    </row>
    <row r="27" spans="1:7" s="42" customFormat="1" ht="18" customHeight="1" x14ac:dyDescent="0.4">
      <c r="A27" s="190"/>
      <c r="B27" s="168"/>
      <c r="C27" s="168"/>
      <c r="D27" s="169"/>
      <c r="E27" s="45" t="s">
        <v>153</v>
      </c>
      <c r="F27" s="46">
        <f>SUM(F18,F22)</f>
        <v>615.06499999999994</v>
      </c>
      <c r="G27" s="136"/>
    </row>
    <row r="28" spans="1:7" s="42" customFormat="1" ht="18" customHeight="1" x14ac:dyDescent="0.4">
      <c r="A28" s="190"/>
      <c r="B28" s="168"/>
      <c r="C28" s="168"/>
      <c r="D28" s="169"/>
      <c r="E28" s="45" t="s">
        <v>150</v>
      </c>
      <c r="F28" s="46">
        <f>SUM(F15:F17)</f>
        <v>528.65</v>
      </c>
    </row>
    <row r="29" spans="1:7" s="42" customFormat="1" ht="7.5" customHeight="1" thickBot="1" x14ac:dyDescent="0.45">
      <c r="A29" s="191"/>
      <c r="B29" s="170"/>
      <c r="C29" s="170"/>
      <c r="D29" s="171"/>
      <c r="E29" s="47"/>
      <c r="F29" s="48"/>
    </row>
  </sheetData>
  <mergeCells count="12">
    <mergeCell ref="B24:D29"/>
    <mergeCell ref="A23:C23"/>
    <mergeCell ref="A5:A6"/>
    <mergeCell ref="A1:F1"/>
    <mergeCell ref="A3:C3"/>
    <mergeCell ref="D3:E3"/>
    <mergeCell ref="F3:F4"/>
    <mergeCell ref="A7:A11"/>
    <mergeCell ref="A12:A13"/>
    <mergeCell ref="A15:A17"/>
    <mergeCell ref="A24:A29"/>
    <mergeCell ref="A20:A21"/>
  </mergeCells>
  <phoneticPr fontId="1" type="noConversion"/>
  <printOptions horizontalCentered="1" verticalCentered="1"/>
  <pageMargins left="0.39370078740157483" right="0.39370078740157483" top="0.98425196850393704" bottom="0.39370078740157483" header="0" footer="0"/>
  <pageSetup paperSize="9" scale="74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003F6-3539-4AC5-A481-6B1B83D866A7}">
  <sheetPr codeName="Sheet4"/>
  <dimension ref="A1:AM42"/>
  <sheetViews>
    <sheetView showGridLines="0" workbookViewId="0">
      <pane xSplit="6" topLeftCell="G1" activePane="topRight" state="frozen"/>
      <selection pane="topRight" activeCell="G22" sqref="G22"/>
    </sheetView>
  </sheetViews>
  <sheetFormatPr defaultColWidth="10" defaultRowHeight="14.4" x14ac:dyDescent="0.4"/>
  <cols>
    <col min="1" max="1" width="9" style="71" customWidth="1"/>
    <col min="2" max="2" width="9" style="72" customWidth="1"/>
    <col min="3" max="3" width="15.09765625" style="71" bestFit="1" customWidth="1"/>
    <col min="4" max="4" width="10.8984375" style="71" bestFit="1" customWidth="1"/>
    <col min="5" max="5" width="9.8984375" style="98" customWidth="1"/>
    <col min="6" max="6" width="9.5" style="98" customWidth="1"/>
    <col min="7" max="37" width="7.59765625" style="98" customWidth="1"/>
    <col min="38" max="38" width="11.59765625" style="110" customWidth="1"/>
    <col min="39" max="39" width="17.5" style="99" customWidth="1"/>
    <col min="40" max="16384" width="10" style="75"/>
  </cols>
  <sheetData>
    <row r="1" spans="1:39" x14ac:dyDescent="0.4"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106"/>
      <c r="AM1" s="74"/>
    </row>
    <row r="2" spans="1:39" ht="28.2" x14ac:dyDescent="0.4">
      <c r="A2" s="192" t="s">
        <v>184</v>
      </c>
      <c r="B2" s="192"/>
      <c r="C2" s="192"/>
      <c r="D2" s="192"/>
      <c r="E2" s="192"/>
      <c r="F2" s="192"/>
      <c r="G2" s="76"/>
      <c r="H2" s="77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106"/>
      <c r="AM2" s="74"/>
    </row>
    <row r="3" spans="1:39" ht="30.6" x14ac:dyDescent="0.4">
      <c r="A3" s="78"/>
      <c r="C3" s="78"/>
      <c r="D3" s="79"/>
      <c r="E3" s="100">
        <v>2020</v>
      </c>
      <c r="F3" s="80">
        <v>5</v>
      </c>
      <c r="G3" s="81"/>
      <c r="H3" s="81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106"/>
      <c r="AM3" s="74"/>
    </row>
    <row r="4" spans="1:39" ht="24.9" customHeight="1" x14ac:dyDescent="0.4">
      <c r="A4" s="193" t="s">
        <v>105</v>
      </c>
      <c r="B4" s="194"/>
      <c r="C4" s="194"/>
      <c r="D4" s="195"/>
      <c r="E4" s="102" t="s">
        <v>107</v>
      </c>
      <c r="F4" s="103" t="s">
        <v>168</v>
      </c>
      <c r="G4" s="105">
        <v>1</v>
      </c>
      <c r="H4" s="105">
        <v>2</v>
      </c>
      <c r="I4" s="105">
        <v>3</v>
      </c>
      <c r="J4" s="105">
        <v>4</v>
      </c>
      <c r="K4" s="105">
        <v>5</v>
      </c>
      <c r="L4" s="105">
        <v>6</v>
      </c>
      <c r="M4" s="105">
        <v>7</v>
      </c>
      <c r="N4" s="105">
        <v>8</v>
      </c>
      <c r="O4" s="105">
        <v>9</v>
      </c>
      <c r="P4" s="105">
        <v>10</v>
      </c>
      <c r="Q4" s="105">
        <v>11</v>
      </c>
      <c r="R4" s="105">
        <v>12</v>
      </c>
      <c r="S4" s="105">
        <v>13</v>
      </c>
      <c r="T4" s="105">
        <v>14</v>
      </c>
      <c r="U4" s="105">
        <v>15</v>
      </c>
      <c r="V4" s="105">
        <v>16</v>
      </c>
      <c r="W4" s="105">
        <v>17</v>
      </c>
      <c r="X4" s="105">
        <v>18</v>
      </c>
      <c r="Y4" s="105">
        <v>19</v>
      </c>
      <c r="Z4" s="105">
        <v>20</v>
      </c>
      <c r="AA4" s="105">
        <v>21</v>
      </c>
      <c r="AB4" s="105">
        <v>22</v>
      </c>
      <c r="AC4" s="105">
        <v>23</v>
      </c>
      <c r="AD4" s="105">
        <v>24</v>
      </c>
      <c r="AE4" s="105">
        <v>25</v>
      </c>
      <c r="AF4" s="105">
        <v>26</v>
      </c>
      <c r="AG4" s="105">
        <v>27</v>
      </c>
      <c r="AH4" s="105">
        <v>28</v>
      </c>
      <c r="AI4" s="105">
        <v>29</v>
      </c>
      <c r="AJ4" s="105">
        <v>30</v>
      </c>
      <c r="AK4" s="105">
        <v>31</v>
      </c>
      <c r="AL4" s="107" t="s">
        <v>169</v>
      </c>
      <c r="AM4" s="82" t="s">
        <v>170</v>
      </c>
    </row>
    <row r="5" spans="1:39" ht="21.9" customHeight="1" x14ac:dyDescent="0.4">
      <c r="A5" s="199" t="s">
        <v>171</v>
      </c>
      <c r="B5" s="201" t="s">
        <v>172</v>
      </c>
      <c r="C5" s="204" t="s">
        <v>113</v>
      </c>
      <c r="D5" s="83" t="s">
        <v>114</v>
      </c>
      <c r="E5" s="104">
        <v>10</v>
      </c>
      <c r="F5" s="104">
        <v>468</v>
      </c>
      <c r="G5" s="137">
        <v>950</v>
      </c>
      <c r="H5" s="84"/>
      <c r="I5" s="84">
        <v>1080</v>
      </c>
      <c r="J5" s="84">
        <v>470</v>
      </c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108">
        <f>SUM(G5:AK5)</f>
        <v>2500</v>
      </c>
      <c r="AM5" s="85">
        <f t="shared" ref="AM5:AM22" si="0">AL5*F5</f>
        <v>1170000</v>
      </c>
    </row>
    <row r="6" spans="1:39" ht="21.9" customHeight="1" x14ac:dyDescent="0.4">
      <c r="A6" s="200"/>
      <c r="B6" s="202"/>
      <c r="C6" s="205"/>
      <c r="D6" s="83" t="s">
        <v>116</v>
      </c>
      <c r="E6" s="104">
        <v>8</v>
      </c>
      <c r="F6" s="104">
        <v>678</v>
      </c>
      <c r="G6" s="138">
        <v>1424</v>
      </c>
      <c r="H6" s="86"/>
      <c r="I6" s="86">
        <v>784</v>
      </c>
      <c r="J6" s="86">
        <v>752</v>
      </c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141">
        <f t="shared" ref="AL6:AL22" si="1">SUM(G6:AK6)</f>
        <v>2960</v>
      </c>
      <c r="AM6" s="87">
        <f t="shared" si="0"/>
        <v>2006880</v>
      </c>
    </row>
    <row r="7" spans="1:39" ht="21.9" customHeight="1" x14ac:dyDescent="0.4">
      <c r="A7" s="200"/>
      <c r="B7" s="202"/>
      <c r="C7" s="201" t="s">
        <v>121</v>
      </c>
      <c r="D7" s="83" t="s">
        <v>131</v>
      </c>
      <c r="E7" s="104">
        <v>10</v>
      </c>
      <c r="F7" s="104">
        <v>492</v>
      </c>
      <c r="G7" s="147">
        <v>400</v>
      </c>
      <c r="H7" s="146"/>
      <c r="I7" s="146">
        <v>610</v>
      </c>
      <c r="J7" s="146">
        <v>340</v>
      </c>
      <c r="K7" s="86"/>
      <c r="L7" s="86"/>
      <c r="M7" s="146"/>
      <c r="N7" s="146"/>
      <c r="O7" s="146"/>
      <c r="P7" s="14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141">
        <f t="shared" si="1"/>
        <v>1350</v>
      </c>
      <c r="AM7" s="87">
        <f t="shared" si="0"/>
        <v>664200</v>
      </c>
    </row>
    <row r="8" spans="1:39" ht="21.9" customHeight="1" x14ac:dyDescent="0.4">
      <c r="A8" s="200"/>
      <c r="B8" s="202"/>
      <c r="C8" s="202"/>
      <c r="D8" s="83" t="s">
        <v>193</v>
      </c>
      <c r="E8" s="104">
        <v>10</v>
      </c>
      <c r="F8" s="104">
        <v>492</v>
      </c>
      <c r="G8" s="138">
        <v>2860</v>
      </c>
      <c r="H8" s="86"/>
      <c r="I8" s="86">
        <v>1740</v>
      </c>
      <c r="J8" s="86">
        <v>960</v>
      </c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141">
        <f t="shared" si="1"/>
        <v>5560</v>
      </c>
      <c r="AM8" s="87">
        <f t="shared" si="0"/>
        <v>2735520</v>
      </c>
    </row>
    <row r="9" spans="1:39" ht="21.9" customHeight="1" x14ac:dyDescent="0.4">
      <c r="A9" s="200"/>
      <c r="B9" s="202"/>
      <c r="C9" s="202"/>
      <c r="D9" s="83" t="s">
        <v>122</v>
      </c>
      <c r="E9" s="104">
        <v>6</v>
      </c>
      <c r="F9" s="104">
        <v>659</v>
      </c>
      <c r="G9" s="138">
        <v>108</v>
      </c>
      <c r="H9" s="86"/>
      <c r="I9" s="86">
        <v>84</v>
      </c>
      <c r="J9" s="86">
        <v>24</v>
      </c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141">
        <f t="shared" si="1"/>
        <v>216</v>
      </c>
      <c r="AM9" s="87">
        <f t="shared" si="0"/>
        <v>142344</v>
      </c>
    </row>
    <row r="10" spans="1:39" ht="21.9" customHeight="1" x14ac:dyDescent="0.4">
      <c r="A10" s="200"/>
      <c r="B10" s="202"/>
      <c r="C10" s="202"/>
      <c r="D10" s="83" t="s">
        <v>122</v>
      </c>
      <c r="E10" s="104">
        <v>10</v>
      </c>
      <c r="F10" s="104">
        <v>659</v>
      </c>
      <c r="G10" s="139">
        <v>360</v>
      </c>
      <c r="H10" s="88"/>
      <c r="I10" s="88">
        <v>390</v>
      </c>
      <c r="J10" s="88">
        <v>110</v>
      </c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141">
        <f t="shared" si="1"/>
        <v>860</v>
      </c>
      <c r="AM10" s="87">
        <f t="shared" si="0"/>
        <v>566740</v>
      </c>
    </row>
    <row r="11" spans="1:39" ht="21.9" customHeight="1" x14ac:dyDescent="0.4">
      <c r="A11" s="200"/>
      <c r="B11" s="202"/>
      <c r="C11" s="203"/>
      <c r="D11" s="83" t="s">
        <v>120</v>
      </c>
      <c r="E11" s="104">
        <v>6</v>
      </c>
      <c r="F11" s="104">
        <v>713</v>
      </c>
      <c r="G11" s="138">
        <v>4752</v>
      </c>
      <c r="H11" s="86">
        <v>2928</v>
      </c>
      <c r="I11" s="86">
        <v>2934</v>
      </c>
      <c r="J11" s="86">
        <v>2136</v>
      </c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141">
        <f t="shared" si="1"/>
        <v>12750</v>
      </c>
      <c r="AM11" s="87">
        <f t="shared" si="0"/>
        <v>9090750</v>
      </c>
    </row>
    <row r="12" spans="1:39" ht="21.9" customHeight="1" x14ac:dyDescent="0.4">
      <c r="A12" s="200"/>
      <c r="B12" s="202"/>
      <c r="C12" s="201" t="s">
        <v>174</v>
      </c>
      <c r="D12" s="83" t="s">
        <v>122</v>
      </c>
      <c r="E12" s="104">
        <v>10</v>
      </c>
      <c r="F12" s="104">
        <v>659</v>
      </c>
      <c r="G12" s="138">
        <v>230</v>
      </c>
      <c r="H12" s="86"/>
      <c r="I12" s="86">
        <v>270</v>
      </c>
      <c r="J12" s="86">
        <v>110</v>
      </c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141">
        <f t="shared" si="1"/>
        <v>610</v>
      </c>
      <c r="AM12" s="87">
        <f t="shared" si="0"/>
        <v>401990</v>
      </c>
    </row>
    <row r="13" spans="1:39" ht="21.9" customHeight="1" x14ac:dyDescent="0.4">
      <c r="A13" s="200"/>
      <c r="B13" s="202"/>
      <c r="C13" s="203"/>
      <c r="D13" s="83" t="s">
        <v>120</v>
      </c>
      <c r="E13" s="104">
        <v>10</v>
      </c>
      <c r="F13" s="104">
        <v>713</v>
      </c>
      <c r="G13" s="138">
        <v>100</v>
      </c>
      <c r="H13" s="86"/>
      <c r="I13" s="86">
        <v>110</v>
      </c>
      <c r="J13" s="86">
        <v>70</v>
      </c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141">
        <f t="shared" si="1"/>
        <v>280</v>
      </c>
      <c r="AM13" s="87">
        <f t="shared" si="0"/>
        <v>199640</v>
      </c>
    </row>
    <row r="14" spans="1:39" ht="21.9" customHeight="1" x14ac:dyDescent="0.4">
      <c r="A14" s="200"/>
      <c r="B14" s="202"/>
      <c r="C14" s="90" t="s">
        <v>176</v>
      </c>
      <c r="D14" s="83" t="s">
        <v>129</v>
      </c>
      <c r="E14" s="104">
        <v>10</v>
      </c>
      <c r="F14" s="104">
        <v>432</v>
      </c>
      <c r="G14" s="138"/>
      <c r="H14" s="86"/>
      <c r="I14" s="86"/>
      <c r="J14" s="86">
        <v>0</v>
      </c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141">
        <f t="shared" si="1"/>
        <v>0</v>
      </c>
      <c r="AM14" s="87">
        <f t="shared" si="0"/>
        <v>0</v>
      </c>
    </row>
    <row r="15" spans="1:39" ht="21.9" customHeight="1" x14ac:dyDescent="0.4">
      <c r="A15" s="200"/>
      <c r="B15" s="202"/>
      <c r="C15" s="204" t="s">
        <v>173</v>
      </c>
      <c r="D15" s="83" t="s">
        <v>118</v>
      </c>
      <c r="E15" s="104">
        <v>10</v>
      </c>
      <c r="F15" s="104">
        <v>681</v>
      </c>
      <c r="G15" s="138">
        <v>2090</v>
      </c>
      <c r="H15" s="86"/>
      <c r="I15" s="86">
        <v>2400</v>
      </c>
      <c r="J15" s="86">
        <v>1590</v>
      </c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141">
        <f t="shared" si="1"/>
        <v>6080</v>
      </c>
      <c r="AM15" s="87">
        <f t="shared" si="0"/>
        <v>4140480</v>
      </c>
    </row>
    <row r="16" spans="1:39" ht="21.9" customHeight="1" x14ac:dyDescent="0.4">
      <c r="A16" s="200"/>
      <c r="B16" s="202"/>
      <c r="C16" s="211"/>
      <c r="D16" s="83" t="s">
        <v>119</v>
      </c>
      <c r="E16" s="104">
        <v>10</v>
      </c>
      <c r="F16" s="104">
        <v>842</v>
      </c>
      <c r="G16" s="138"/>
      <c r="H16" s="86"/>
      <c r="I16" s="86"/>
      <c r="J16" s="86">
        <v>0</v>
      </c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141">
        <f t="shared" si="1"/>
        <v>0</v>
      </c>
      <c r="AM16" s="87">
        <f t="shared" si="0"/>
        <v>0</v>
      </c>
    </row>
    <row r="17" spans="1:39" ht="21.9" customHeight="1" x14ac:dyDescent="0.4">
      <c r="A17" s="200"/>
      <c r="B17" s="202"/>
      <c r="C17" s="205"/>
      <c r="D17" s="83" t="s">
        <v>120</v>
      </c>
      <c r="E17" s="104">
        <v>8</v>
      </c>
      <c r="F17" s="104">
        <v>969</v>
      </c>
      <c r="G17" s="138">
        <v>40</v>
      </c>
      <c r="H17" s="86"/>
      <c r="I17" s="86">
        <v>56</v>
      </c>
      <c r="J17" s="86">
        <v>40</v>
      </c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141">
        <f t="shared" si="1"/>
        <v>136</v>
      </c>
      <c r="AM17" s="87">
        <f t="shared" si="0"/>
        <v>131784</v>
      </c>
    </row>
    <row r="18" spans="1:39" ht="21.9" customHeight="1" x14ac:dyDescent="0.4">
      <c r="A18" s="200"/>
      <c r="B18" s="202"/>
      <c r="C18" s="90" t="s">
        <v>130</v>
      </c>
      <c r="D18" s="83" t="s">
        <v>131</v>
      </c>
      <c r="E18" s="104">
        <v>10</v>
      </c>
      <c r="F18" s="104">
        <v>432</v>
      </c>
      <c r="G18" s="138">
        <v>2620</v>
      </c>
      <c r="H18" s="86"/>
      <c r="I18" s="86">
        <v>3180</v>
      </c>
      <c r="J18" s="86">
        <v>1010</v>
      </c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141">
        <f t="shared" si="1"/>
        <v>6810</v>
      </c>
      <c r="AM18" s="87">
        <f t="shared" si="0"/>
        <v>2941920</v>
      </c>
    </row>
    <row r="19" spans="1:39" ht="21.9" customHeight="1" x14ac:dyDescent="0.4">
      <c r="A19" s="200"/>
      <c r="B19" s="202"/>
      <c r="C19" s="89" t="s">
        <v>123</v>
      </c>
      <c r="D19" s="83" t="s">
        <v>124</v>
      </c>
      <c r="E19" s="104">
        <v>3</v>
      </c>
      <c r="F19" s="104">
        <v>1504</v>
      </c>
      <c r="G19" s="138">
        <v>15</v>
      </c>
      <c r="H19" s="86"/>
      <c r="I19" s="86">
        <v>2</v>
      </c>
      <c r="J19" s="86">
        <v>18</v>
      </c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141">
        <f>SUM(G19:AK19)</f>
        <v>35</v>
      </c>
      <c r="AM19" s="87">
        <f t="shared" si="0"/>
        <v>52640</v>
      </c>
    </row>
    <row r="20" spans="1:39" ht="21.9" customHeight="1" x14ac:dyDescent="0.4">
      <c r="A20" s="200"/>
      <c r="B20" s="202"/>
      <c r="C20" s="144" t="s">
        <v>126</v>
      </c>
      <c r="D20" s="83" t="s">
        <v>120</v>
      </c>
      <c r="E20" s="104">
        <v>10</v>
      </c>
      <c r="F20" s="104">
        <v>504</v>
      </c>
      <c r="G20" s="138">
        <v>6</v>
      </c>
      <c r="H20" s="86"/>
      <c r="I20" s="86"/>
      <c r="J20" s="86">
        <v>4</v>
      </c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141">
        <f>SUM(G20:AK20)</f>
        <v>10</v>
      </c>
      <c r="AM20" s="87">
        <f t="shared" si="0"/>
        <v>5040</v>
      </c>
    </row>
    <row r="21" spans="1:39" ht="21.9" customHeight="1" x14ac:dyDescent="0.4">
      <c r="A21" s="200"/>
      <c r="B21" s="202"/>
      <c r="C21" s="145"/>
      <c r="D21" s="83" t="s">
        <v>127</v>
      </c>
      <c r="E21" s="104">
        <v>3</v>
      </c>
      <c r="F21" s="104">
        <v>650</v>
      </c>
      <c r="G21" s="138">
        <v>4</v>
      </c>
      <c r="H21" s="86"/>
      <c r="I21" s="86"/>
      <c r="J21" s="86">
        <v>3</v>
      </c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141">
        <f>SUM(G21:AK21)</f>
        <v>7</v>
      </c>
      <c r="AM21" s="87">
        <f t="shared" si="0"/>
        <v>4550</v>
      </c>
    </row>
    <row r="22" spans="1:39" ht="21.9" customHeight="1" x14ac:dyDescent="0.4">
      <c r="A22" s="200"/>
      <c r="B22" s="202"/>
      <c r="C22" s="90" t="s">
        <v>175</v>
      </c>
      <c r="D22" s="83" t="s">
        <v>124</v>
      </c>
      <c r="E22" s="104">
        <v>3</v>
      </c>
      <c r="F22" s="104">
        <v>955</v>
      </c>
      <c r="G22" s="140">
        <v>51</v>
      </c>
      <c r="H22" s="91"/>
      <c r="I22" s="91">
        <v>39</v>
      </c>
      <c r="J22" s="91">
        <v>28</v>
      </c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/>
      <c r="W22" s="91"/>
      <c r="X22" s="91"/>
      <c r="Y22" s="91"/>
      <c r="Z22" s="91"/>
      <c r="AA22" s="91"/>
      <c r="AB22" s="91"/>
      <c r="AC22" s="91"/>
      <c r="AD22" s="91"/>
      <c r="AE22" s="91"/>
      <c r="AF22" s="91"/>
      <c r="AG22" s="91"/>
      <c r="AH22" s="91"/>
      <c r="AI22" s="91"/>
      <c r="AJ22" s="91"/>
      <c r="AK22" s="91"/>
      <c r="AL22" s="142">
        <f t="shared" si="1"/>
        <v>118</v>
      </c>
      <c r="AM22" s="87">
        <f t="shared" si="0"/>
        <v>112690</v>
      </c>
    </row>
    <row r="23" spans="1:39" s="92" customFormat="1" ht="21.9" customHeight="1" x14ac:dyDescent="0.4">
      <c r="A23" s="200"/>
      <c r="B23" s="203"/>
      <c r="C23" s="206" t="s">
        <v>177</v>
      </c>
      <c r="D23" s="206"/>
      <c r="E23" s="206"/>
      <c r="F23" s="207"/>
      <c r="G23" s="101">
        <f>SUM(G5:G22)</f>
        <v>16010</v>
      </c>
      <c r="H23" s="101">
        <f t="shared" ref="H23:AM23" si="2">SUM(H5:H22)</f>
        <v>2928</v>
      </c>
      <c r="I23" s="101">
        <f t="shared" si="2"/>
        <v>13679</v>
      </c>
      <c r="J23" s="101">
        <f t="shared" si="2"/>
        <v>7665</v>
      </c>
      <c r="K23" s="101">
        <f t="shared" si="2"/>
        <v>0</v>
      </c>
      <c r="L23" s="101">
        <f t="shared" si="2"/>
        <v>0</v>
      </c>
      <c r="M23" s="101">
        <f t="shared" si="2"/>
        <v>0</v>
      </c>
      <c r="N23" s="101">
        <f t="shared" si="2"/>
        <v>0</v>
      </c>
      <c r="O23" s="101">
        <f t="shared" si="2"/>
        <v>0</v>
      </c>
      <c r="P23" s="101">
        <f t="shared" si="2"/>
        <v>0</v>
      </c>
      <c r="Q23" s="101">
        <f t="shared" si="2"/>
        <v>0</v>
      </c>
      <c r="R23" s="101">
        <f t="shared" si="2"/>
        <v>0</v>
      </c>
      <c r="S23" s="101">
        <f t="shared" si="2"/>
        <v>0</v>
      </c>
      <c r="T23" s="101">
        <f t="shared" si="2"/>
        <v>0</v>
      </c>
      <c r="U23" s="101">
        <f t="shared" si="2"/>
        <v>0</v>
      </c>
      <c r="V23" s="101">
        <f t="shared" si="2"/>
        <v>0</v>
      </c>
      <c r="W23" s="101">
        <f t="shared" si="2"/>
        <v>0</v>
      </c>
      <c r="X23" s="101">
        <f t="shared" si="2"/>
        <v>0</v>
      </c>
      <c r="Y23" s="101">
        <f t="shared" si="2"/>
        <v>0</v>
      </c>
      <c r="Z23" s="101">
        <f t="shared" si="2"/>
        <v>0</v>
      </c>
      <c r="AA23" s="101">
        <f t="shared" si="2"/>
        <v>0</v>
      </c>
      <c r="AB23" s="101">
        <f t="shared" si="2"/>
        <v>0</v>
      </c>
      <c r="AC23" s="101">
        <f t="shared" si="2"/>
        <v>0</v>
      </c>
      <c r="AD23" s="101">
        <f t="shared" si="2"/>
        <v>0</v>
      </c>
      <c r="AE23" s="101">
        <f t="shared" si="2"/>
        <v>0</v>
      </c>
      <c r="AF23" s="101">
        <f t="shared" si="2"/>
        <v>0</v>
      </c>
      <c r="AG23" s="101">
        <f t="shared" si="2"/>
        <v>0</v>
      </c>
      <c r="AH23" s="101">
        <f t="shared" si="2"/>
        <v>0</v>
      </c>
      <c r="AI23" s="101">
        <f t="shared" si="2"/>
        <v>0</v>
      </c>
      <c r="AJ23" s="101">
        <f t="shared" si="2"/>
        <v>0</v>
      </c>
      <c r="AK23" s="101">
        <f t="shared" si="2"/>
        <v>0</v>
      </c>
      <c r="AL23" s="101">
        <f t="shared" si="2"/>
        <v>40282</v>
      </c>
      <c r="AM23" s="101">
        <f t="shared" si="2"/>
        <v>24367168</v>
      </c>
    </row>
    <row r="24" spans="1:39" ht="15.75" customHeight="1" x14ac:dyDescent="0.4">
      <c r="C24" s="93"/>
      <c r="D24" s="93"/>
      <c r="E24" s="94"/>
      <c r="F24" s="94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  <c r="AC24" s="95"/>
      <c r="AD24" s="95"/>
      <c r="AE24" s="95"/>
      <c r="AF24" s="95"/>
      <c r="AG24" s="95"/>
      <c r="AH24" s="95"/>
      <c r="AI24" s="95"/>
      <c r="AJ24" s="95"/>
      <c r="AK24" s="95"/>
      <c r="AL24" s="109"/>
      <c r="AM24" s="96"/>
    </row>
    <row r="25" spans="1:39" x14ac:dyDescent="0.4">
      <c r="E25" s="73"/>
      <c r="F25" s="73"/>
      <c r="G25" s="73"/>
      <c r="H25" s="73"/>
      <c r="I25" s="73"/>
      <c r="J25" s="57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97"/>
      <c r="AF25" s="73"/>
      <c r="AG25" s="73"/>
      <c r="AH25" s="73"/>
      <c r="AI25" s="73"/>
      <c r="AJ25" s="73"/>
      <c r="AK25" s="73"/>
      <c r="AL25" s="106"/>
      <c r="AM25" s="74"/>
    </row>
    <row r="26" spans="1:39" x14ac:dyDescent="0.4">
      <c r="D26" s="208" t="s">
        <v>178</v>
      </c>
      <c r="E26" s="209"/>
      <c r="F26" s="210"/>
      <c r="G26" s="73"/>
      <c r="H26" s="73"/>
      <c r="I26" s="75"/>
      <c r="J26" s="57"/>
      <c r="K26" s="75"/>
      <c r="L26" s="75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106"/>
      <c r="AM26" s="74"/>
    </row>
    <row r="27" spans="1:39" x14ac:dyDescent="0.4">
      <c r="D27" s="208" t="s">
        <v>179</v>
      </c>
      <c r="E27" s="209"/>
      <c r="F27" s="210"/>
      <c r="J27" s="116"/>
    </row>
    <row r="28" spans="1:39" x14ac:dyDescent="0.4">
      <c r="D28" s="208" t="s">
        <v>180</v>
      </c>
      <c r="E28" s="209"/>
      <c r="F28" s="210"/>
      <c r="J28" s="57"/>
      <c r="K28" s="75"/>
      <c r="L28" s="75"/>
      <c r="M28" s="75"/>
      <c r="N28" s="75"/>
      <c r="O28" s="75"/>
      <c r="P28" s="75"/>
      <c r="Q28" s="75"/>
    </row>
    <row r="29" spans="1:39" x14ac:dyDescent="0.4">
      <c r="D29" s="208" t="s">
        <v>181</v>
      </c>
      <c r="E29" s="209"/>
      <c r="F29" s="210"/>
    </row>
    <row r="30" spans="1:39" x14ac:dyDescent="0.4">
      <c r="D30" s="208" t="s">
        <v>182</v>
      </c>
      <c r="E30" s="209"/>
      <c r="F30" s="210"/>
    </row>
    <row r="31" spans="1:39" x14ac:dyDescent="0.4">
      <c r="D31" s="196" t="s">
        <v>183</v>
      </c>
      <c r="E31" s="197"/>
      <c r="F31" s="198"/>
      <c r="J31" s="57"/>
      <c r="L31" s="75"/>
      <c r="M31" s="75"/>
      <c r="N31" s="75"/>
      <c r="O31" s="75"/>
    </row>
    <row r="32" spans="1:39" x14ac:dyDescent="0.4">
      <c r="J32" s="57"/>
    </row>
    <row r="33" spans="10:10" x14ac:dyDescent="0.4">
      <c r="J33" s="57"/>
    </row>
    <row r="34" spans="10:10" x14ac:dyDescent="0.4">
      <c r="J34" s="57"/>
    </row>
    <row r="35" spans="10:10" x14ac:dyDescent="0.4">
      <c r="J35" s="57"/>
    </row>
    <row r="36" spans="10:10" x14ac:dyDescent="0.4">
      <c r="J36" s="57"/>
    </row>
    <row r="37" spans="10:10" x14ac:dyDescent="0.4">
      <c r="J37" s="57"/>
    </row>
    <row r="38" spans="10:10" x14ac:dyDescent="0.4">
      <c r="J38" s="57"/>
    </row>
    <row r="39" spans="10:10" x14ac:dyDescent="0.4">
      <c r="J39" s="57"/>
    </row>
    <row r="40" spans="10:10" x14ac:dyDescent="0.4">
      <c r="J40" s="57"/>
    </row>
    <row r="41" spans="10:10" x14ac:dyDescent="0.4">
      <c r="J41" s="57"/>
    </row>
    <row r="42" spans="10:10" x14ac:dyDescent="0.4">
      <c r="J42" s="57"/>
    </row>
  </sheetData>
  <mergeCells count="15">
    <mergeCell ref="A2:F2"/>
    <mergeCell ref="A4:D4"/>
    <mergeCell ref="D31:F31"/>
    <mergeCell ref="A5:A23"/>
    <mergeCell ref="B5:B23"/>
    <mergeCell ref="C5:C6"/>
    <mergeCell ref="C23:F23"/>
    <mergeCell ref="D26:F26"/>
    <mergeCell ref="D27:F27"/>
    <mergeCell ref="D28:F28"/>
    <mergeCell ref="D29:F29"/>
    <mergeCell ref="D30:F30"/>
    <mergeCell ref="C7:C11"/>
    <mergeCell ref="C12:C13"/>
    <mergeCell ref="C15:C17"/>
  </mergeCells>
  <phoneticPr fontId="1" type="noConversion"/>
  <pageMargins left="0.11811023622047245" right="0.47244094488188981" top="0.98425196850393704" bottom="0.98425196850393704" header="0.51181102362204722" footer="0.51181102362204722"/>
  <pageSetup paperSize="9" scale="5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pinner 1">
              <controlPr defaultSize="0" autoPict="0">
                <anchor moveWithCells="1" sizeWithCells="1">
                  <from>
                    <xdr:col>5</xdr:col>
                    <xdr:colOff>449580</xdr:colOff>
                    <xdr:row>2</xdr:row>
                    <xdr:rowOff>45720</xdr:rowOff>
                  </from>
                  <to>
                    <xdr:col>5</xdr:col>
                    <xdr:colOff>716280</xdr:colOff>
                    <xdr:row>2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T51"/>
  <sheetViews>
    <sheetView workbookViewId="0">
      <selection activeCell="G37" sqref="G37"/>
    </sheetView>
  </sheetViews>
  <sheetFormatPr defaultColWidth="9" defaultRowHeight="17.399999999999999" x14ac:dyDescent="0.4"/>
  <cols>
    <col min="1" max="1" width="14.69921875" style="14" customWidth="1" collapsed="1"/>
    <col min="2" max="2" width="4.69921875" style="14" bestFit="1" customWidth="1" collapsed="1"/>
    <col min="3" max="3" width="9.59765625" style="15" bestFit="1" customWidth="1" collapsed="1"/>
    <col min="4" max="4" width="8" style="14" bestFit="1" customWidth="1" collapsed="1"/>
    <col min="5" max="5" width="6.3984375" style="14" bestFit="1" customWidth="1" collapsed="1"/>
    <col min="6" max="6" width="9" style="15" bestFit="1" customWidth="1" collapsed="1"/>
    <col min="7" max="7" width="9" style="14" bestFit="1" customWidth="1" collapsed="1"/>
    <col min="8" max="8" width="5.19921875" style="14" bestFit="1" customWidth="1" collapsed="1"/>
    <col min="9" max="9" width="4.69921875" style="14" bestFit="1" customWidth="1" collapsed="1"/>
    <col min="10" max="10" width="15.09765625" style="14" customWidth="1" collapsed="1"/>
    <col min="11" max="11" width="7.09765625" style="14" bestFit="1" customWidth="1" collapsed="1"/>
    <col min="12" max="12" width="4.69921875" style="14" bestFit="1" customWidth="1" collapsed="1"/>
    <col min="13" max="13" width="8.3984375" style="14" bestFit="1" customWidth="1" collapsed="1"/>
    <col min="14" max="14" width="8.69921875" style="55" bestFit="1" customWidth="1" collapsed="1"/>
    <col min="15" max="15" width="8" style="14" bestFit="1" customWidth="1" collapsed="1"/>
    <col min="16" max="16" width="9.5" style="14" bestFit="1" customWidth="1" collapsed="1"/>
    <col min="17" max="17" width="5.5" style="14" bestFit="1" customWidth="1" collapsed="1"/>
    <col min="18" max="18" width="8" style="14" bestFit="1" customWidth="1" collapsed="1"/>
    <col min="19" max="19" width="11.3984375" style="14" bestFit="1" customWidth="1" collapsed="1"/>
    <col min="20" max="20" width="7.69921875" style="14" bestFit="1" customWidth="1" collapsed="1"/>
    <col min="21" max="16384" width="9" style="14"/>
  </cols>
  <sheetData>
    <row r="1" spans="1:20" customFormat="1" x14ac:dyDescent="0.4">
      <c r="A1" s="16" t="s">
        <v>49</v>
      </c>
      <c r="B1" s="17" t="s">
        <v>50</v>
      </c>
      <c r="C1" s="17" t="s">
        <v>51</v>
      </c>
      <c r="D1" s="17" t="s">
        <v>52</v>
      </c>
      <c r="E1" s="17" t="s">
        <v>53</v>
      </c>
      <c r="F1" s="16" t="s">
        <v>54</v>
      </c>
      <c r="G1" s="16" t="s">
        <v>55</v>
      </c>
      <c r="H1" s="16" t="s">
        <v>56</v>
      </c>
      <c r="I1" s="17" t="s">
        <v>57</v>
      </c>
      <c r="J1" s="16" t="s">
        <v>58</v>
      </c>
      <c r="K1" s="16" t="s">
        <v>59</v>
      </c>
      <c r="L1" s="17" t="s">
        <v>60</v>
      </c>
      <c r="M1" s="16" t="s">
        <v>61</v>
      </c>
      <c r="N1" s="54" t="s">
        <v>62</v>
      </c>
      <c r="O1" s="17" t="s">
        <v>63</v>
      </c>
      <c r="P1" s="17" t="s">
        <v>64</v>
      </c>
      <c r="Q1" s="17" t="s">
        <v>65</v>
      </c>
      <c r="R1" s="17" t="s">
        <v>66</v>
      </c>
      <c r="S1" s="17" t="s">
        <v>67</v>
      </c>
      <c r="T1" s="16" t="s">
        <v>68</v>
      </c>
    </row>
    <row r="2" spans="1:20" x14ac:dyDescent="0.4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</row>
    <row r="3" spans="1:20" x14ac:dyDescent="0.4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1:20" x14ac:dyDescent="0.4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</row>
    <row r="5" spans="1:20" x14ac:dyDescent="0.4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</row>
    <row r="6" spans="1:20" x14ac:dyDescent="0.4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</row>
    <row r="7" spans="1:20" x14ac:dyDescent="0.4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</row>
    <row r="8" spans="1:20" x14ac:dyDescent="0.4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</row>
    <row r="9" spans="1:20" x14ac:dyDescent="0.4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</row>
    <row r="10" spans="1:20" x14ac:dyDescent="0.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x14ac:dyDescent="0.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x14ac:dyDescent="0.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x14ac:dyDescent="0.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x14ac:dyDescent="0.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x14ac:dyDescent="0.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x14ac:dyDescent="0.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x14ac:dyDescent="0.4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x14ac:dyDescent="0.4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x14ac:dyDescent="0.4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x14ac:dyDescent="0.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x14ac:dyDescent="0.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x14ac:dyDescent="0.4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x14ac:dyDescent="0.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x14ac:dyDescent="0.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x14ac:dyDescent="0.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x14ac:dyDescent="0.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x14ac:dyDescent="0.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x14ac:dyDescent="0.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x14ac:dyDescent="0.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x14ac:dyDescent="0.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x14ac:dyDescent="0.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x14ac:dyDescent="0.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x14ac:dyDescent="0.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x14ac:dyDescent="0.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x14ac:dyDescent="0.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x14ac:dyDescent="0.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x14ac:dyDescent="0.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x14ac:dyDescent="0.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x14ac:dyDescent="0.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x14ac:dyDescent="0.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x14ac:dyDescent="0.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x14ac:dyDescent="0.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x14ac:dyDescent="0.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x14ac:dyDescent="0.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x14ac:dyDescent="0.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x14ac:dyDescent="0.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x14ac:dyDescent="0.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x14ac:dyDescent="0.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x14ac:dyDescent="0.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x14ac:dyDescent="0.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x14ac:dyDescent="0.4">
      <c r="A51"/>
      <c r="B51"/>
      <c r="C51"/>
      <c r="D51"/>
      <c r="E51"/>
      <c r="F51"/>
      <c r="G51"/>
      <c r="H51"/>
      <c r="I51"/>
      <c r="J51"/>
      <c r="K51"/>
      <c r="L51"/>
      <c r="M51"/>
      <c r="N51" s="8"/>
      <c r="O51"/>
      <c r="P51"/>
      <c r="Q51"/>
      <c r="R51"/>
      <c r="S51"/>
      <c r="T5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발주 계산기</vt:lpstr>
      <vt:lpstr>발주 복사</vt:lpstr>
      <vt:lpstr>기사님확인</vt:lpstr>
      <vt:lpstr>정보</vt:lpstr>
      <vt:lpstr>대상발주서</vt:lpstr>
      <vt:lpstr>대상발주현황</vt:lpstr>
      <vt:lpstr>판매입력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박주형</dc:creator>
  <cp:lastModifiedBy>게임개발자_농부</cp:lastModifiedBy>
  <cp:lastPrinted>2020-05-04T12:12:37Z</cp:lastPrinted>
  <dcterms:created xsi:type="dcterms:W3CDTF">2019-08-27T06:16:35Z</dcterms:created>
  <dcterms:modified xsi:type="dcterms:W3CDTF">2020-05-04T12:26:24Z</dcterms:modified>
</cp:coreProperties>
</file>